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behim\Downloads\"/>
    </mc:Choice>
  </mc:AlternateContent>
  <xr:revisionPtr revIDLastSave="443" documentId="8_{D8CF34D1-E4C6-4146-82FD-E84E111E2BF3}" xr6:coauthVersionLast="47" xr6:coauthVersionMax="47" xr10:uidLastSave="{52F70B66-7BF6-413D-857B-3930387BA4BB}"/>
  <bookViews>
    <workbookView xWindow="0" yWindow="0" windowWidth="21570" windowHeight="7980" tabRatio="769" firstSheet="5" activeTab="4" xr2:uid="{7EE95CC4-2F90-4975-BDE7-B983FAEC165D}"/>
  </bookViews>
  <sheets>
    <sheet name="RessourcesHumaines" sheetId="8" r:id="rId1"/>
    <sheet name="Calcul" sheetId="5" r:id="rId2"/>
    <sheet name="Décision" sheetId="9" r:id="rId3"/>
    <sheet name="Calcul canal communication" sheetId="4" r:id="rId4"/>
    <sheet name="Data" sheetId="10" r:id="rId5"/>
    <sheet name="Conseil" sheetId="11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2" i="5" l="1"/>
  <c r="F2" i="11"/>
  <c r="F3" i="11"/>
  <c r="F4" i="11"/>
  <c r="F5" i="11"/>
  <c r="F6" i="11"/>
  <c r="F7" i="11"/>
  <c r="F8" i="11"/>
  <c r="E2" i="11"/>
  <c r="E3" i="11"/>
  <c r="E4" i="11"/>
  <c r="E5" i="11"/>
  <c r="E6" i="11"/>
  <c r="E7" i="11"/>
  <c r="E8" i="11"/>
  <c r="D2" i="11"/>
  <c r="D3" i="11"/>
  <c r="D4" i="11"/>
  <c r="D5" i="11"/>
  <c r="D6" i="11"/>
  <c r="D7" i="11"/>
  <c r="D8" i="11"/>
  <c r="C2" i="11"/>
  <c r="C3" i="11"/>
  <c r="C4" i="11"/>
  <c r="C5" i="11"/>
  <c r="C6" i="11"/>
  <c r="C7" i="11"/>
  <c r="C8" i="11"/>
  <c r="B2" i="11"/>
  <c r="B3" i="11"/>
  <c r="B4" i="11"/>
  <c r="B5" i="11"/>
  <c r="B6" i="11"/>
  <c r="B7" i="11"/>
  <c r="B8" i="11"/>
  <c r="B92" i="5"/>
  <c r="C92" i="5"/>
  <c r="D92" i="5"/>
  <c r="E92" i="5"/>
  <c r="F92" i="5"/>
  <c r="E109" i="5"/>
  <c r="F109" i="5"/>
  <c r="E110" i="5"/>
  <c r="E111" i="5"/>
  <c r="E112" i="5"/>
  <c r="F112" i="5"/>
  <c r="E113" i="5"/>
  <c r="E114" i="5"/>
  <c r="H6" i="5"/>
  <c r="H5" i="5"/>
  <c r="H3" i="5"/>
  <c r="C4" i="5" l="1"/>
  <c r="C3" i="5"/>
  <c r="C5" i="5"/>
  <c r="C6" i="5"/>
  <c r="C7" i="5"/>
  <c r="C8" i="5"/>
  <c r="I23" i="5"/>
  <c r="I24" i="5"/>
  <c r="B60" i="5" l="1"/>
  <c r="D63" i="5" s="1"/>
  <c r="O29" i="9"/>
  <c r="B56" i="5"/>
  <c r="B50" i="5"/>
  <c r="F50" i="5" s="1"/>
  <c r="B54" i="5"/>
  <c r="F54" i="5" s="1"/>
  <c r="I7" i="5"/>
  <c r="J3" i="5"/>
  <c r="J5" i="5"/>
  <c r="J6" i="5"/>
  <c r="B31" i="8"/>
  <c r="B26" i="8"/>
  <c r="G20" i="8"/>
  <c r="G15" i="8"/>
  <c r="F35" i="5"/>
  <c r="F36" i="5"/>
  <c r="G13" i="8"/>
  <c r="F34" i="5"/>
  <c r="F33" i="5"/>
  <c r="F32" i="5"/>
  <c r="F31" i="5"/>
  <c r="F30" i="5"/>
  <c r="F29" i="5"/>
  <c r="H4" i="5" s="1"/>
  <c r="H7" i="5" s="1"/>
  <c r="B52" i="5"/>
  <c r="F52" i="5" s="1"/>
  <c r="G120" i="4"/>
  <c r="G87" i="4"/>
  <c r="G65" i="4"/>
  <c r="G33" i="4"/>
  <c r="G7" i="4"/>
  <c r="G111" i="4"/>
  <c r="G88" i="4"/>
  <c r="G56" i="4"/>
  <c r="G31" i="4"/>
  <c r="G2" i="4"/>
  <c r="G110" i="4"/>
  <c r="G84" i="4"/>
  <c r="G58" i="4"/>
  <c r="G30" i="4"/>
  <c r="G4" i="4"/>
  <c r="G113" i="4"/>
  <c r="G83" i="4"/>
  <c r="G57" i="4"/>
  <c r="G29" i="4"/>
  <c r="G3" i="4"/>
  <c r="G127" i="4"/>
  <c r="G93" i="4"/>
  <c r="G76" i="4"/>
  <c r="G38" i="4"/>
  <c r="G14" i="4"/>
  <c r="G126" i="4"/>
  <c r="G92" i="4"/>
  <c r="G73" i="4"/>
  <c r="G36" i="4"/>
  <c r="G13" i="4"/>
  <c r="G117" i="4"/>
  <c r="G108" i="4"/>
  <c r="G64" i="4"/>
  <c r="G52" i="4"/>
  <c r="G6" i="4"/>
  <c r="G134" i="4"/>
  <c r="G109" i="4"/>
  <c r="G79" i="4"/>
  <c r="G55" i="4"/>
  <c r="G22" i="4"/>
  <c r="G125" i="4"/>
  <c r="G90" i="4"/>
  <c r="G72" i="4"/>
  <c r="G35" i="4"/>
  <c r="G11" i="4"/>
  <c r="G128" i="4"/>
  <c r="G99" i="4"/>
  <c r="G78" i="4"/>
  <c r="G45" i="4"/>
  <c r="G17" i="4"/>
  <c r="G123" i="4"/>
  <c r="G98" i="4"/>
  <c r="G62" i="4"/>
  <c r="G43" i="4"/>
  <c r="G16" i="4"/>
  <c r="G130" i="4"/>
  <c r="G95" i="4"/>
  <c r="G74" i="4"/>
  <c r="G53" i="4"/>
  <c r="G27" i="4"/>
  <c r="G132" i="4"/>
  <c r="G100" i="4"/>
  <c r="G75" i="4"/>
  <c r="G49" i="4"/>
  <c r="G18" i="4"/>
  <c r="G112" i="4"/>
  <c r="G85" i="4"/>
  <c r="G60" i="4"/>
  <c r="G32" i="4"/>
  <c r="G5" i="4"/>
  <c r="G133" i="4"/>
  <c r="G101" i="4"/>
  <c r="G77" i="4"/>
  <c r="G50" i="4"/>
  <c r="G19" i="4"/>
  <c r="G136" i="4"/>
  <c r="G107" i="4"/>
  <c r="G82" i="4"/>
  <c r="G54" i="4"/>
  <c r="G28" i="4"/>
  <c r="G122" i="4"/>
  <c r="G102" i="4"/>
  <c r="G66" i="4"/>
  <c r="G37" i="4"/>
  <c r="G15" i="4"/>
  <c r="G124" i="4"/>
  <c r="G89" i="4"/>
  <c r="G67" i="4"/>
  <c r="G51" i="4"/>
  <c r="G25" i="4"/>
  <c r="G129" i="4"/>
  <c r="G104" i="4"/>
  <c r="G68" i="4"/>
  <c r="G41" i="4"/>
  <c r="G21" i="4"/>
  <c r="G115" i="4"/>
  <c r="G86" i="4"/>
  <c r="G63" i="4"/>
  <c r="G46" i="4"/>
  <c r="G20" i="4"/>
  <c r="G131" i="4"/>
  <c r="G106" i="4"/>
  <c r="G70" i="4"/>
  <c r="G44" i="4"/>
  <c r="G23" i="4"/>
  <c r="G121" i="4"/>
  <c r="G96" i="4"/>
  <c r="G71" i="4"/>
  <c r="G42" i="4"/>
  <c r="G10" i="4"/>
  <c r="G118" i="4"/>
  <c r="G94" i="4"/>
  <c r="G69" i="4"/>
  <c r="G40" i="4"/>
  <c r="G9" i="4"/>
  <c r="G114" i="4"/>
  <c r="G91" i="4"/>
  <c r="G59" i="4"/>
  <c r="G34" i="4"/>
  <c r="G8" i="4"/>
  <c r="G119" i="4"/>
  <c r="G97" i="4"/>
  <c r="G61" i="4"/>
  <c r="G39" i="4"/>
  <c r="G12" i="4"/>
  <c r="G135" i="4"/>
  <c r="G103" i="4"/>
  <c r="G81" i="4"/>
  <c r="G47" i="4"/>
  <c r="G26" i="4"/>
  <c r="G116" i="4"/>
  <c r="G105" i="4"/>
  <c r="G80" i="4"/>
  <c r="G48" i="4"/>
  <c r="G24" i="4"/>
  <c r="B13" i="8"/>
  <c r="B14" i="8"/>
  <c r="B15" i="8"/>
  <c r="B18" i="8"/>
  <c r="B19" i="8"/>
  <c r="I20" i="5"/>
  <c r="I21" i="5"/>
  <c r="I22" i="5"/>
  <c r="G7" i="5"/>
  <c r="K6" i="5"/>
  <c r="K5" i="5"/>
  <c r="K3" i="5"/>
  <c r="B10" i="5"/>
  <c r="D8" i="5"/>
  <c r="D7" i="5"/>
  <c r="D6" i="5"/>
  <c r="D5" i="5"/>
  <c r="D4" i="5"/>
  <c r="D3" i="5"/>
  <c r="K4" i="5" l="1"/>
  <c r="K7" i="5" s="1"/>
  <c r="J4" i="5"/>
  <c r="J7" i="5" s="1"/>
  <c r="C7" i="8"/>
  <c r="D7" i="8"/>
  <c r="F56" i="5"/>
  <c r="B31" i="5"/>
  <c r="I19" i="9" s="1"/>
  <c r="F60" i="5"/>
  <c r="D61" i="5"/>
  <c r="D60" i="5"/>
  <c r="D62" i="5"/>
  <c r="G62" i="5" s="1"/>
  <c r="F64" i="5"/>
  <c r="J30" i="5" s="1"/>
  <c r="B64" i="5"/>
  <c r="C3" i="8"/>
  <c r="D3" i="8"/>
  <c r="B30" i="5"/>
  <c r="G19" i="9" s="1"/>
  <c r="B29" i="5"/>
  <c r="E19" i="9" s="1"/>
  <c r="G63" i="5"/>
  <c r="D51" i="5"/>
  <c r="D50" i="5"/>
  <c r="C39" i="5" s="1"/>
  <c r="D53" i="5"/>
  <c r="G53" i="5" s="1"/>
  <c r="D52" i="5"/>
  <c r="C40" i="5" s="1"/>
  <c r="D55" i="5"/>
  <c r="D54" i="5"/>
  <c r="D59" i="5"/>
  <c r="G59" i="5" s="1"/>
  <c r="D58" i="5"/>
  <c r="C43" i="5" s="1"/>
  <c r="D57" i="5"/>
  <c r="C42" i="5" s="1"/>
  <c r="D56" i="5"/>
  <c r="G60" i="5" l="1"/>
  <c r="C44" i="5"/>
  <c r="G61" i="5"/>
  <c r="C41" i="5"/>
  <c r="C14" i="5"/>
  <c r="C9" i="5"/>
  <c r="B9" i="8"/>
  <c r="B20" i="8"/>
  <c r="G31" i="8"/>
  <c r="B17" i="8"/>
  <c r="G17" i="8"/>
  <c r="G28" i="8"/>
  <c r="C6" i="8"/>
  <c r="D6" i="8"/>
  <c r="G56" i="5"/>
  <c r="G57" i="5"/>
  <c r="J41" i="5" s="1"/>
  <c r="G58" i="5"/>
  <c r="G55" i="5"/>
  <c r="J43" i="5" s="1"/>
  <c r="J54" i="5"/>
  <c r="G52" i="5"/>
  <c r="G50" i="5"/>
  <c r="J51" i="5"/>
  <c r="G51" i="5"/>
  <c r="J42" i="5" s="1"/>
  <c r="J53" i="5"/>
  <c r="G54" i="5"/>
  <c r="J50" i="5"/>
  <c r="E20" i="5" l="1"/>
  <c r="D44" i="5"/>
  <c r="E44" i="5" s="1"/>
  <c r="D40" i="5"/>
  <c r="E40" i="5" s="1"/>
  <c r="E21" i="5"/>
  <c r="D42" i="5"/>
  <c r="E42" i="5" s="1"/>
  <c r="D39" i="5"/>
  <c r="E39" i="5" s="1"/>
  <c r="E22" i="5"/>
  <c r="D43" i="5"/>
  <c r="E43" i="5" s="1"/>
  <c r="D41" i="5"/>
  <c r="E41" i="5" s="1"/>
  <c r="L14" i="9"/>
  <c r="C2" i="8"/>
  <c r="D2" i="8"/>
  <c r="C5" i="8"/>
  <c r="D5" i="8"/>
  <c r="D9" i="5"/>
  <c r="C10" i="5"/>
  <c r="F24" i="9" s="1"/>
  <c r="J40" i="5"/>
  <c r="I14" i="9" s="1"/>
  <c r="G14" i="9"/>
  <c r="K10" i="9"/>
  <c r="E23" i="5"/>
  <c r="E34" i="5"/>
  <c r="E31" i="5"/>
  <c r="H20" i="5"/>
  <c r="J20" i="5" s="1"/>
  <c r="E29" i="5"/>
  <c r="H21" i="5"/>
  <c r="J21" i="5" s="1"/>
  <c r="E32" i="5"/>
  <c r="N10" i="9"/>
  <c r="E24" i="5"/>
  <c r="E33" i="5"/>
  <c r="E30" i="5"/>
  <c r="H22" i="5"/>
  <c r="J22" i="5" s="1"/>
  <c r="J39" i="5"/>
  <c r="K52" i="5"/>
  <c r="H10" i="9"/>
  <c r="K50" i="5"/>
  <c r="C10" i="9"/>
  <c r="K51" i="5"/>
  <c r="B28" i="5" s="1"/>
  <c r="C19" i="9" s="1"/>
  <c r="F10" i="9"/>
  <c r="D10" i="5" l="1"/>
  <c r="C13" i="5"/>
  <c r="C14" i="9"/>
  <c r="E36" i="5"/>
  <c r="H23" i="5"/>
  <c r="J23" i="5" s="1"/>
  <c r="E35" i="5"/>
  <c r="H24" i="5"/>
  <c r="J24" i="5" s="1"/>
  <c r="N14" i="9"/>
  <c r="E14" i="9"/>
  <c r="G14" i="5" l="1"/>
  <c r="C24" i="9"/>
  <c r="N24" i="9"/>
  <c r="C15" i="5"/>
  <c r="J29" i="5" s="1"/>
  <c r="J31" i="5" s="1"/>
  <c r="Q10" i="9" l="1"/>
  <c r="Q33" i="9"/>
  <c r="R10" i="9"/>
</calcChain>
</file>

<file path=xl/sharedStrings.xml><?xml version="1.0" encoding="utf-8"?>
<sst xmlns="http://schemas.openxmlformats.org/spreadsheetml/2006/main" count="951" uniqueCount="256">
  <si>
    <t>Type Employé</t>
  </si>
  <si>
    <t>En Possession</t>
  </si>
  <si>
    <t>Vérification</t>
  </si>
  <si>
    <t>A Modifier</t>
  </si>
  <si>
    <t>Encadrement du personnel</t>
  </si>
  <si>
    <t>Nombre</t>
  </si>
  <si>
    <t>Agent Maitrise</t>
  </si>
  <si>
    <t>Cadre Moyen</t>
  </si>
  <si>
    <t>Commercial</t>
  </si>
  <si>
    <t>Employé</t>
  </si>
  <si>
    <t>Ouvrier</t>
  </si>
  <si>
    <t>Assistant Commercial</t>
  </si>
  <si>
    <t>Dirigeant</t>
  </si>
  <si>
    <t>Total</t>
  </si>
  <si>
    <t>Employé nécessaires</t>
  </si>
  <si>
    <t>Cadre Moyen nécessaires</t>
  </si>
  <si>
    <t>Aucun, les Cadres Moyens ne s'encadre pas eux même</t>
  </si>
  <si>
    <t>Aucun, les employés ne s'encadre pas eux même</t>
  </si>
  <si>
    <t>Assistant commerciaaux nécessaires</t>
  </si>
  <si>
    <t>Agent Maitrise nécessaires</t>
  </si>
  <si>
    <t>Aucun, les agents maitrises ne s'encadre pas eux même</t>
  </si>
  <si>
    <t>Aucun, les assistants commerciaux ne s'encadre pas eux même</t>
  </si>
  <si>
    <t>Couts de fonctionnement de l'entreprise</t>
  </si>
  <si>
    <t>Postes</t>
  </si>
  <si>
    <t>Salaire</t>
  </si>
  <si>
    <t>Effectif</t>
  </si>
  <si>
    <t>Salaire à verser</t>
  </si>
  <si>
    <t>Machines</t>
  </si>
  <si>
    <t>Coût Fonctionnement</t>
  </si>
  <si>
    <t>Nombre machines</t>
  </si>
  <si>
    <t>Nombre ouvriers/ Machines</t>
  </si>
  <si>
    <t>Total Ouvriers</t>
  </si>
  <si>
    <t>TOTAL</t>
  </si>
  <si>
    <t>Agent de maîtrise</t>
  </si>
  <si>
    <t>Découpe</t>
  </si>
  <si>
    <t>Agent commerciales</t>
  </si>
  <si>
    <t>Broyage/Mixage</t>
  </si>
  <si>
    <t>Cadre dirigeant</t>
  </si>
  <si>
    <t>Cuisson</t>
  </si>
  <si>
    <t>Cadre moyen</t>
  </si>
  <si>
    <t>Emballage</t>
  </si>
  <si>
    <t>Commerciales</t>
  </si>
  <si>
    <t>postes</t>
  </si>
  <si>
    <t>Nombre Ouvriers / Machines</t>
  </si>
  <si>
    <t>COUT TOTAL</t>
  </si>
  <si>
    <t>Salarier</t>
  </si>
  <si>
    <t>COUT MENSUEL DES SALAIRES ET DES MACHINES</t>
  </si>
  <si>
    <t>Machine</t>
  </si>
  <si>
    <t>VALEUR =</t>
  </si>
  <si>
    <t>Produit</t>
  </si>
  <si>
    <t>DEPENSES &amp; PERTES</t>
  </si>
  <si>
    <t>en prix /kg</t>
  </si>
  <si>
    <t>Quantité en unité</t>
  </si>
  <si>
    <t>Coût express</t>
  </si>
  <si>
    <t>Coût normal</t>
  </si>
  <si>
    <t>Commande Express</t>
  </si>
  <si>
    <t>Commande Normal</t>
  </si>
  <si>
    <t>Coût Express Final</t>
  </si>
  <si>
    <t>Coût Normal Final</t>
  </si>
  <si>
    <t>Porc   (prix/100kg)</t>
  </si>
  <si>
    <t>Poulet  (prix/2kg)</t>
  </si>
  <si>
    <t>Canard  (prix/3kg)</t>
  </si>
  <si>
    <t>Plastique  (prix/50kg)</t>
  </si>
  <si>
    <t>Fer  (prix/60kg)</t>
  </si>
  <si>
    <t>CAPACITE MACHINE</t>
  </si>
  <si>
    <t>TABLEAU USINE</t>
  </si>
  <si>
    <t>Decoupe</t>
  </si>
  <si>
    <t>Calcul en quantité</t>
  </si>
  <si>
    <t>QUANTITE EN KILOS EXPRESS</t>
  </si>
  <si>
    <t>QUANTITE EN KILOS NORMALES</t>
  </si>
  <si>
    <t>chair de poulet</t>
  </si>
  <si>
    <t>DEPENSE</t>
  </si>
  <si>
    <t>chair de canard</t>
  </si>
  <si>
    <t>GAIN</t>
  </si>
  <si>
    <t>chair de porc</t>
  </si>
  <si>
    <t>BENEFICE</t>
  </si>
  <si>
    <t xml:space="preserve">cuisse </t>
  </si>
  <si>
    <t>poitrail canard</t>
  </si>
  <si>
    <t>muscle porc</t>
  </si>
  <si>
    <t>fer</t>
  </si>
  <si>
    <t>plastique</t>
  </si>
  <si>
    <t>PRODUIT</t>
  </si>
  <si>
    <t>Quantité nécessaire</t>
  </si>
  <si>
    <t>Quantité acheté(en Kg)</t>
  </si>
  <si>
    <t>Pertes (en Kg)</t>
  </si>
  <si>
    <t>COMMANDER</t>
  </si>
  <si>
    <t>Cuisse</t>
  </si>
  <si>
    <t>Porc</t>
  </si>
  <si>
    <t>Muscles</t>
  </si>
  <si>
    <t>Poulet</t>
  </si>
  <si>
    <t>Poitrail de canard</t>
  </si>
  <si>
    <t>Canard</t>
  </si>
  <si>
    <t>Chair de poulet</t>
  </si>
  <si>
    <t>Plastique</t>
  </si>
  <si>
    <t>Chair de canard</t>
  </si>
  <si>
    <t>Fer</t>
  </si>
  <si>
    <t>Chair de porc</t>
  </si>
  <si>
    <t>CALCULS SELON LE NOMBRE DE PRODUITS</t>
  </si>
  <si>
    <t>Le type</t>
  </si>
  <si>
    <t>Quantité</t>
  </si>
  <si>
    <t>nom</t>
  </si>
  <si>
    <t>Quantité par kg</t>
  </si>
  <si>
    <t>prix de vente par unité</t>
  </si>
  <si>
    <t>PRIX TOTAL</t>
  </si>
  <si>
    <t>Besoin en matière première</t>
  </si>
  <si>
    <t>Besoin commande</t>
  </si>
  <si>
    <t>Poids Viande Brut</t>
  </si>
  <si>
    <t>Cuisse de poulet</t>
  </si>
  <si>
    <t>cuisse</t>
  </si>
  <si>
    <t>Jambon</t>
  </si>
  <si>
    <t>muscles</t>
  </si>
  <si>
    <t>plastiques</t>
  </si>
  <si>
    <t>Paté de porc</t>
  </si>
  <si>
    <t>chair porc</t>
  </si>
  <si>
    <t>Terrine de volaille</t>
  </si>
  <si>
    <t>chair poulet</t>
  </si>
  <si>
    <t>chair canard</t>
  </si>
  <si>
    <t>Mousse de Canard</t>
  </si>
  <si>
    <t>poitrail de canard</t>
  </si>
  <si>
    <t>PORC</t>
  </si>
  <si>
    <t>Charge variable par lot livré</t>
  </si>
  <si>
    <t>POULET</t>
  </si>
  <si>
    <t>FER</t>
  </si>
  <si>
    <t>Charge variable par lôt livré</t>
  </si>
  <si>
    <t>muscle en kg</t>
  </si>
  <si>
    <t>chair porc en kg</t>
  </si>
  <si>
    <t>déchets en kg</t>
  </si>
  <si>
    <t>cuisse en kg</t>
  </si>
  <si>
    <t>chair poulet en kg</t>
  </si>
  <si>
    <t>BOBINE</t>
  </si>
  <si>
    <t>PLASTIQUE</t>
  </si>
  <si>
    <t>déchets</t>
  </si>
  <si>
    <t>ingrédients après transformation en KG</t>
  </si>
  <si>
    <t>poulet</t>
  </si>
  <si>
    <t>canard</t>
  </si>
  <si>
    <t>porc</t>
  </si>
  <si>
    <t>produits finis production en KG</t>
  </si>
  <si>
    <t>terrine de volaille</t>
  </si>
  <si>
    <t>pate de porc</t>
  </si>
  <si>
    <t xml:space="preserve">cuisse de poulet </t>
  </si>
  <si>
    <t>mousse de canard</t>
  </si>
  <si>
    <t>jambon</t>
  </si>
  <si>
    <t>pertes</t>
  </si>
  <si>
    <t>utilisation machine selon viande en KG</t>
  </si>
  <si>
    <t>découpe ( OU )</t>
  </si>
  <si>
    <t>broyage/mixage ( OU )</t>
  </si>
  <si>
    <t>cuisson ( OU )</t>
  </si>
  <si>
    <t>emballage ( OU )</t>
  </si>
  <si>
    <t>Type Machine</t>
  </si>
  <si>
    <t>PRIX MACHINES</t>
  </si>
  <si>
    <t>pâté de porc</t>
  </si>
  <si>
    <t>cuisse de poulet</t>
  </si>
  <si>
    <t>Produits</t>
  </si>
  <si>
    <t>Nom de l'ingrédient</t>
  </si>
  <si>
    <t>quantité en KG</t>
  </si>
  <si>
    <t>Poids Net</t>
  </si>
  <si>
    <t>Pourcentage de composants</t>
  </si>
  <si>
    <t>Poids par produit par KG</t>
  </si>
  <si>
    <t>Cuisses de Poulet</t>
  </si>
  <si>
    <t>Cuisses poulet</t>
  </si>
  <si>
    <t>Pâté de porc</t>
  </si>
  <si>
    <t>Terrine volaille</t>
  </si>
  <si>
    <t>Mousse Canard</t>
  </si>
  <si>
    <t>DECISION</t>
  </si>
  <si>
    <t>CUISSE DE POULET</t>
  </si>
  <si>
    <t>JAMBON</t>
  </si>
  <si>
    <t xml:space="preserve"> PATE DE PORC</t>
  </si>
  <si>
    <t>TERRINE DE VOLAILLE</t>
  </si>
  <si>
    <t>MOUSSE DE CANARD</t>
  </si>
  <si>
    <t>Matières premières à commander</t>
  </si>
  <si>
    <t>CANARD</t>
  </si>
  <si>
    <t>DEPENSES</t>
  </si>
  <si>
    <t>Les pertes</t>
  </si>
  <si>
    <t>muscle</t>
  </si>
  <si>
    <t xml:space="preserve"> </t>
  </si>
  <si>
    <t>Utilisations machines</t>
  </si>
  <si>
    <t>Broyage</t>
  </si>
  <si>
    <t>Embalage</t>
  </si>
  <si>
    <t>Fonctions de sauvegardes</t>
  </si>
  <si>
    <t>et de choix de livraisons afin de</t>
  </si>
  <si>
    <t>CHOIX DU MOIS</t>
  </si>
  <si>
    <t>Août</t>
  </si>
  <si>
    <t>calculer plus simplement via un</t>
  </si>
  <si>
    <t>Employés</t>
  </si>
  <si>
    <t>userform</t>
  </si>
  <si>
    <t>Augmentation de salaire par rapport au premier mois</t>
  </si>
  <si>
    <t>Encore en Travail // Inactif</t>
  </si>
  <si>
    <t>Achats de machines</t>
  </si>
  <si>
    <t>CHOIX LIVRAISON</t>
  </si>
  <si>
    <t>BENEFICES</t>
  </si>
  <si>
    <t>Canal</t>
  </si>
  <si>
    <t>Nom</t>
  </si>
  <si>
    <t>Offre</t>
  </si>
  <si>
    <t>GPR</t>
  </si>
  <si>
    <t>Prix</t>
  </si>
  <si>
    <t>Coef Rent</t>
  </si>
  <si>
    <t>GPX x Nb diff  entre 100 et 150</t>
  </si>
  <si>
    <t>Presse</t>
  </si>
  <si>
    <t>La voix du canards</t>
  </si>
  <si>
    <t>1 page</t>
  </si>
  <si>
    <t>Jambon Nature et Tradition</t>
  </si>
  <si>
    <t>1/2 page</t>
  </si>
  <si>
    <t>Aile Mag</t>
  </si>
  <si>
    <t>Dans le dossier cuisine</t>
  </si>
  <si>
    <t>2 pages</t>
  </si>
  <si>
    <t>Radio</t>
  </si>
  <si>
    <t>Radio Poulet Luxembourg</t>
  </si>
  <si>
    <t>Info Jour</t>
  </si>
  <si>
    <t>TV</t>
  </si>
  <si>
    <t>MCN</t>
  </si>
  <si>
    <t>Info du jour</t>
  </si>
  <si>
    <t>Info de la nuit</t>
  </si>
  <si>
    <t>Radio Mouton Cochon</t>
  </si>
  <si>
    <t>8h-11h</t>
  </si>
  <si>
    <t>Info Nuit</t>
  </si>
  <si>
    <t>15h-21h</t>
  </si>
  <si>
    <t>11h-15h</t>
  </si>
  <si>
    <t>TALADAL</t>
  </si>
  <si>
    <t>Emissions bio</t>
  </si>
  <si>
    <t>Après reportage</t>
  </si>
  <si>
    <t>SkyPorc</t>
  </si>
  <si>
    <t>Avant Programme</t>
  </si>
  <si>
    <t>Emisions matin</t>
  </si>
  <si>
    <t>Pig and Chicken Channel</t>
  </si>
  <si>
    <t>Emissions divertissement</t>
  </si>
  <si>
    <t>Emissions découverte</t>
  </si>
  <si>
    <t>4ème</t>
  </si>
  <si>
    <t>Emissions tradition</t>
  </si>
  <si>
    <t>Verso</t>
  </si>
  <si>
    <t>Emissions cuisine</t>
  </si>
  <si>
    <t>Programme TV</t>
  </si>
  <si>
    <t>Avant Film</t>
  </si>
  <si>
    <t>Emisions soir</t>
  </si>
  <si>
    <t>Pâté de Porc</t>
  </si>
  <si>
    <t>Mousse de canard</t>
  </si>
  <si>
    <t>Période</t>
  </si>
  <si>
    <t>Mai</t>
  </si>
  <si>
    <t>Juin</t>
  </si>
  <si>
    <t>Juillet</t>
  </si>
  <si>
    <t>Septembre</t>
  </si>
  <si>
    <t>Octobre</t>
  </si>
  <si>
    <t>Novembre</t>
  </si>
  <si>
    <t>Décembre</t>
  </si>
  <si>
    <t>Achats MP</t>
  </si>
  <si>
    <t>Bobine Fer</t>
  </si>
  <si>
    <t>Bobine Plastique</t>
  </si>
  <si>
    <t>Production</t>
  </si>
  <si>
    <t>Pate de Porc</t>
  </si>
  <si>
    <t>Prix ventes</t>
  </si>
  <si>
    <t>Marché Potentiel</t>
  </si>
  <si>
    <t>none</t>
  </si>
  <si>
    <t>Nombres machines</t>
  </si>
  <si>
    <t>Mois</t>
  </si>
  <si>
    <t>Cuisses de poulet</t>
  </si>
  <si>
    <t>Potentiel</t>
  </si>
  <si>
    <t>Concurent nbr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</si>
</sst>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  <numFmt numFmtId="165" formatCode="0.000"/>
    <numFmt numFmtId="166" formatCode="#,##0.00\ &quot;€&quot;"/>
  </numFmts>
  <fonts count="27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theme="1"/>
      <name val="Calibri"/>
    </font>
    <font>
      <sz val="11"/>
      <color rgb="FF006100"/>
      <name val="Calibri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444444"/>
      <name val="Calibri"/>
      <charset val="1"/>
    </font>
    <font>
      <b/>
      <sz val="11"/>
      <color rgb="FFFFFFFF"/>
      <name val="Calibri"/>
      <family val="2"/>
      <scheme val="minor"/>
    </font>
    <font>
      <sz val="11"/>
      <color rgb="FFFF0000"/>
      <name val="Calibri"/>
    </font>
    <font>
      <b/>
      <sz val="18"/>
      <color rgb="FF000000"/>
      <name val="Calibri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000000"/>
      <name val="Calibri"/>
    </font>
    <font>
      <sz val="16"/>
      <color rgb="FFFF000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6"/>
      <color rgb="FF000000"/>
      <name val="Calibri"/>
    </font>
    <font>
      <sz val="16"/>
      <color rgb="FFFF0000"/>
      <name val="Calibri"/>
      <family val="2"/>
    </font>
    <font>
      <sz val="16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Times New Roman"/>
      <charset val="1"/>
    </font>
  </fonts>
  <fills count="25">
    <fill>
      <patternFill patternType="none"/>
    </fill>
    <fill>
      <patternFill patternType="gray125"/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A9D08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A939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8FFCF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3F3F3F"/>
      </right>
      <top style="medium">
        <color rgb="FF000000"/>
      </top>
      <bottom style="medium">
        <color rgb="FF000000"/>
      </bottom>
      <diagonal/>
    </border>
    <border>
      <left style="thin">
        <color rgb="FF3F3F3F"/>
      </left>
      <right style="thin">
        <color rgb="FF3F3F3F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70AD47"/>
      </bottom>
      <diagonal/>
    </border>
  </borders>
  <cellStyleXfs count="2">
    <xf numFmtId="0" fontId="0" fillId="0" borderId="0"/>
    <xf numFmtId="0" fontId="5" fillId="7" borderId="0" applyNumberFormat="0" applyBorder="0" applyAlignment="0" applyProtection="0"/>
  </cellStyleXfs>
  <cellXfs count="167">
    <xf numFmtId="0" fontId="0" fillId="0" borderId="0" xfId="0"/>
    <xf numFmtId="2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4" fillId="8" borderId="0" xfId="0" applyFont="1" applyFill="1"/>
    <xf numFmtId="2" fontId="4" fillId="0" borderId="0" xfId="0" applyNumberFormat="1" applyFont="1"/>
    <xf numFmtId="0" fontId="0" fillId="8" borderId="0" xfId="0" applyFill="1"/>
    <xf numFmtId="165" fontId="0" fillId="0" borderId="0" xfId="0" applyNumberFormat="1"/>
    <xf numFmtId="0" fontId="6" fillId="8" borderId="0" xfId="0" applyFont="1" applyFill="1"/>
    <xf numFmtId="0" fontId="0" fillId="9" borderId="0" xfId="0" applyFill="1"/>
    <xf numFmtId="0" fontId="0" fillId="10" borderId="0" xfId="0" applyFill="1"/>
    <xf numFmtId="0" fontId="0" fillId="0" borderId="1" xfId="0" applyBorder="1"/>
    <xf numFmtId="0" fontId="0" fillId="0" borderId="2" xfId="0" applyBorder="1"/>
    <xf numFmtId="0" fontId="0" fillId="9" borderId="4" xfId="0" applyFill="1" applyBorder="1"/>
    <xf numFmtId="0" fontId="0" fillId="0" borderId="4" xfId="0" applyBorder="1"/>
    <xf numFmtId="0" fontId="0" fillId="9" borderId="6" xfId="0" applyFill="1" applyBorder="1"/>
    <xf numFmtId="0" fontId="0" fillId="6" borderId="8" xfId="0" applyFill="1" applyBorder="1"/>
    <xf numFmtId="0" fontId="0" fillId="0" borderId="6" xfId="0" applyBorder="1"/>
    <xf numFmtId="0" fontId="0" fillId="0" borderId="8" xfId="0" applyBorder="1"/>
    <xf numFmtId="0" fontId="0" fillId="9" borderId="5" xfId="0" applyFill="1" applyBorder="1"/>
    <xf numFmtId="0" fontId="8" fillId="0" borderId="0" xfId="0" applyFont="1"/>
    <xf numFmtId="0" fontId="0" fillId="5" borderId="11" xfId="0" applyFill="1" applyBorder="1"/>
    <xf numFmtId="0" fontId="0" fillId="9" borderId="7" xfId="0" applyFill="1" applyBorder="1"/>
    <xf numFmtId="0" fontId="0" fillId="9" borderId="13" xfId="0" applyFill="1" applyBorder="1"/>
    <xf numFmtId="0" fontId="0" fillId="5" borderId="6" xfId="0" applyFill="1" applyBorder="1"/>
    <xf numFmtId="166" fontId="0" fillId="0" borderId="0" xfId="0" applyNumberFormat="1"/>
    <xf numFmtId="0" fontId="5" fillId="7" borderId="15" xfId="1" applyBorder="1"/>
    <xf numFmtId="0" fontId="5" fillId="7" borderId="16" xfId="1" applyBorder="1"/>
    <xf numFmtId="2" fontId="5" fillId="7" borderId="16" xfId="1" applyNumberFormat="1" applyBorder="1"/>
    <xf numFmtId="0" fontId="5" fillId="7" borderId="17" xfId="1" applyBorder="1"/>
    <xf numFmtId="0" fontId="5" fillId="7" borderId="18" xfId="1" applyBorder="1"/>
    <xf numFmtId="0" fontId="0" fillId="9" borderId="4" xfId="0" applyFill="1" applyBorder="1" applyAlignment="1">
      <alignment horizontal="center"/>
    </xf>
    <xf numFmtId="0" fontId="0" fillId="4" borderId="5" xfId="0" applyFill="1" applyBorder="1"/>
    <xf numFmtId="2" fontId="0" fillId="0" borderId="3" xfId="0" applyNumberFormat="1" applyBorder="1"/>
    <xf numFmtId="10" fontId="0" fillId="0" borderId="0" xfId="0" applyNumberFormat="1"/>
    <xf numFmtId="0" fontId="0" fillId="8" borderId="14" xfId="0" applyFill="1" applyBorder="1"/>
    <xf numFmtId="0" fontId="0" fillId="12" borderId="12" xfId="0" applyFill="1" applyBorder="1"/>
    <xf numFmtId="2" fontId="7" fillId="0" borderId="3" xfId="0" applyNumberFormat="1" applyFont="1" applyBorder="1"/>
    <xf numFmtId="0" fontId="0" fillId="4" borderId="3" xfId="0" applyFill="1" applyBorder="1"/>
    <xf numFmtId="2" fontId="0" fillId="4" borderId="3" xfId="0" applyNumberFormat="1" applyFill="1" applyBorder="1"/>
    <xf numFmtId="0" fontId="0" fillId="4" borderId="13" xfId="0" applyFill="1" applyBorder="1"/>
    <xf numFmtId="0" fontId="0" fillId="0" borderId="13" xfId="0" applyBorder="1"/>
    <xf numFmtId="0" fontId="12" fillId="0" borderId="0" xfId="0" applyFont="1"/>
    <xf numFmtId="0" fontId="0" fillId="10" borderId="21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 wrapText="1"/>
    </xf>
    <xf numFmtId="166" fontId="0" fillId="0" borderId="14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10" borderId="20" xfId="0" applyFill="1" applyBorder="1"/>
    <xf numFmtId="0" fontId="0" fillId="11" borderId="0" xfId="0" applyFill="1"/>
    <xf numFmtId="0" fontId="0" fillId="13" borderId="0" xfId="0" applyFill="1"/>
    <xf numFmtId="0" fontId="0" fillId="13" borderId="20" xfId="0" applyFill="1" applyBorder="1"/>
    <xf numFmtId="0" fontId="1" fillId="9" borderId="20" xfId="0" applyFont="1" applyFill="1" applyBorder="1"/>
    <xf numFmtId="0" fontId="1" fillId="9" borderId="0" xfId="0" applyFont="1" applyFill="1"/>
    <xf numFmtId="0" fontId="1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7" fillId="11" borderId="0" xfId="0" applyFont="1" applyFill="1"/>
    <xf numFmtId="0" fontId="0" fillId="11" borderId="7" xfId="0" applyFill="1" applyBorder="1"/>
    <xf numFmtId="0" fontId="0" fillId="13" borderId="13" xfId="0" applyFill="1" applyBorder="1"/>
    <xf numFmtId="0" fontId="0" fillId="13" borderId="6" xfId="0" applyFill="1" applyBorder="1"/>
    <xf numFmtId="0" fontId="0" fillId="13" borderId="14" xfId="0" applyFill="1" applyBorder="1"/>
    <xf numFmtId="2" fontId="0" fillId="13" borderId="0" xfId="0" applyNumberFormat="1" applyFill="1"/>
    <xf numFmtId="1" fontId="0" fillId="13" borderId="0" xfId="0" applyNumberFormat="1" applyFill="1"/>
    <xf numFmtId="1" fontId="0" fillId="0" borderId="0" xfId="0" applyNumberFormat="1"/>
    <xf numFmtId="0" fontId="0" fillId="0" borderId="20" xfId="0" applyBorder="1"/>
    <xf numFmtId="0" fontId="0" fillId="0" borderId="3" xfId="0" applyBorder="1"/>
    <xf numFmtId="10" fontId="0" fillId="0" borderId="3" xfId="0" applyNumberFormat="1" applyBorder="1"/>
    <xf numFmtId="0" fontId="0" fillId="13" borderId="3" xfId="0" applyFill="1" applyBorder="1"/>
    <xf numFmtId="10" fontId="0" fillId="13" borderId="3" xfId="0" applyNumberFormat="1" applyFill="1" applyBorder="1"/>
    <xf numFmtId="0" fontId="2" fillId="8" borderId="1" xfId="0" applyFont="1" applyFill="1" applyBorder="1"/>
    <xf numFmtId="0" fontId="7" fillId="8" borderId="1" xfId="0" applyFont="1" applyFill="1" applyBorder="1"/>
    <xf numFmtId="166" fontId="1" fillId="14" borderId="5" xfId="0" applyNumberFormat="1" applyFont="1" applyFill="1" applyBorder="1" applyAlignment="1">
      <alignment horizontal="center"/>
    </xf>
    <xf numFmtId="166" fontId="1" fillId="14" borderId="10" xfId="0" applyNumberFormat="1" applyFont="1" applyFill="1" applyBorder="1" applyAlignment="1">
      <alignment horizontal="center"/>
    </xf>
    <xf numFmtId="166" fontId="1" fillId="14" borderId="9" xfId="0" applyNumberFormat="1" applyFont="1" applyFill="1" applyBorder="1" applyAlignment="1">
      <alignment horizontal="center"/>
    </xf>
    <xf numFmtId="2" fontId="0" fillId="0" borderId="5" xfId="0" applyNumberFormat="1" applyBorder="1"/>
    <xf numFmtId="2" fontId="0" fillId="0" borderId="10" xfId="0" applyNumberFormat="1" applyBorder="1"/>
    <xf numFmtId="2" fontId="8" fillId="0" borderId="9" xfId="0" applyNumberFormat="1" applyFont="1" applyBorder="1"/>
    <xf numFmtId="2" fontId="8" fillId="0" borderId="10" xfId="0" applyNumberFormat="1" applyFont="1" applyBorder="1"/>
    <xf numFmtId="2" fontId="0" fillId="0" borderId="9" xfId="0" applyNumberFormat="1" applyBorder="1"/>
    <xf numFmtId="2" fontId="0" fillId="0" borderId="8" xfId="0" applyNumberFormat="1" applyBorder="1"/>
    <xf numFmtId="0" fontId="0" fillId="8" borderId="6" xfId="0" applyFill="1" applyBorder="1"/>
    <xf numFmtId="0" fontId="7" fillId="8" borderId="6" xfId="0" applyFont="1" applyFill="1" applyBorder="1"/>
    <xf numFmtId="0" fontId="7" fillId="8" borderId="8" xfId="0" applyFont="1" applyFill="1" applyBorder="1"/>
    <xf numFmtId="0" fontId="0" fillId="6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 wrapText="1"/>
    </xf>
    <xf numFmtId="0" fontId="0" fillId="8" borderId="19" xfId="0" applyFill="1" applyBorder="1"/>
    <xf numFmtId="0" fontId="8" fillId="13" borderId="14" xfId="0" applyFont="1" applyFill="1" applyBorder="1"/>
    <xf numFmtId="0" fontId="0" fillId="13" borderId="8" xfId="0" applyFill="1" applyBorder="1"/>
    <xf numFmtId="0" fontId="0" fillId="13" borderId="12" xfId="0" applyFill="1" applyBorder="1"/>
    <xf numFmtId="0" fontId="0" fillId="13" borderId="11" xfId="0" applyFill="1" applyBorder="1"/>
    <xf numFmtId="0" fontId="13" fillId="15" borderId="0" xfId="0" applyFont="1" applyFill="1"/>
    <xf numFmtId="0" fontId="14" fillId="10" borderId="2" xfId="0" applyFont="1" applyFill="1" applyBorder="1"/>
    <xf numFmtId="0" fontId="0" fillId="13" borderId="2" xfId="0" applyFill="1" applyBorder="1"/>
    <xf numFmtId="0" fontId="15" fillId="0" borderId="0" xfId="0" applyFont="1"/>
    <xf numFmtId="0" fontId="7" fillId="13" borderId="2" xfId="0" applyFont="1" applyFill="1" applyBorder="1"/>
    <xf numFmtId="0" fontId="7" fillId="0" borderId="2" xfId="0" applyFont="1" applyBorder="1"/>
    <xf numFmtId="0" fontId="7" fillId="0" borderId="0" xfId="0" applyFont="1"/>
    <xf numFmtId="0" fontId="0" fillId="13" borderId="1" xfId="0" applyFill="1" applyBorder="1"/>
    <xf numFmtId="0" fontId="13" fillId="10" borderId="2" xfId="0" applyFont="1" applyFill="1" applyBorder="1"/>
    <xf numFmtId="0" fontId="17" fillId="0" borderId="0" xfId="0" applyFont="1"/>
    <xf numFmtId="0" fontId="16" fillId="16" borderId="13" xfId="0" applyFont="1" applyFill="1" applyBorder="1" applyAlignment="1">
      <alignment horizontal="center"/>
    </xf>
    <xf numFmtId="0" fontId="16" fillId="16" borderId="22" xfId="0" applyFont="1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7" fillId="13" borderId="0" xfId="0" applyFont="1" applyFill="1"/>
    <xf numFmtId="0" fontId="1" fillId="8" borderId="0" xfId="0" applyFont="1" applyFill="1"/>
    <xf numFmtId="0" fontId="1" fillId="0" borderId="0" xfId="0" applyFont="1" applyAlignment="1">
      <alignment horizontal="center"/>
    </xf>
    <xf numFmtId="166" fontId="0" fillId="11" borderId="0" xfId="0" applyNumberFormat="1" applyFill="1" applyAlignment="1">
      <alignment wrapText="1"/>
    </xf>
    <xf numFmtId="0" fontId="18" fillId="0" borderId="0" xfId="0" applyFont="1" applyAlignment="1">
      <alignment horizontal="center"/>
    </xf>
    <xf numFmtId="44" fontId="0" fillId="13" borderId="0" xfId="0" applyNumberFormat="1" applyFill="1"/>
    <xf numFmtId="0" fontId="11" fillId="9" borderId="0" xfId="0" applyFont="1" applyFill="1"/>
    <xf numFmtId="0" fontId="0" fillId="10" borderId="3" xfId="0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0" fontId="0" fillId="10" borderId="3" xfId="0" applyFill="1" applyBorder="1"/>
    <xf numFmtId="4" fontId="0" fillId="13" borderId="0" xfId="0" applyNumberFormat="1" applyFill="1"/>
    <xf numFmtId="44" fontId="0" fillId="0" borderId="0" xfId="0" applyNumberFormat="1"/>
    <xf numFmtId="0" fontId="0" fillId="17" borderId="0" xfId="0" applyFill="1" applyAlignment="1">
      <alignment horizontal="center" vertical="center"/>
    </xf>
    <xf numFmtId="0" fontId="0" fillId="17" borderId="0" xfId="0" applyFill="1"/>
    <xf numFmtId="10" fontId="0" fillId="17" borderId="0" xfId="0" applyNumberFormat="1" applyFill="1"/>
    <xf numFmtId="0" fontId="0" fillId="18" borderId="0" xfId="0" applyFill="1" applyAlignment="1">
      <alignment horizontal="center" vertical="center"/>
    </xf>
    <xf numFmtId="0" fontId="0" fillId="18" borderId="0" xfId="0" applyFill="1"/>
    <xf numFmtId="10" fontId="0" fillId="18" borderId="0" xfId="0" applyNumberFormat="1" applyFill="1"/>
    <xf numFmtId="0" fontId="4" fillId="18" borderId="0" xfId="0" applyFont="1" applyFill="1" applyAlignment="1">
      <alignment horizontal="center" vertical="center"/>
    </xf>
    <xf numFmtId="0" fontId="21" fillId="0" borderId="0" xfId="0" applyFont="1" applyAlignment="1">
      <alignment horizontal="center"/>
    </xf>
    <xf numFmtId="0" fontId="0" fillId="20" borderId="0" xfId="0" applyFill="1"/>
    <xf numFmtId="0" fontId="0" fillId="21" borderId="0" xfId="0" applyFill="1"/>
    <xf numFmtId="0" fontId="1" fillId="3" borderId="0" xfId="0" applyFont="1" applyFill="1"/>
    <xf numFmtId="0" fontId="3" fillId="22" borderId="0" xfId="0" applyFont="1" applyFill="1"/>
    <xf numFmtId="0" fontId="2" fillId="22" borderId="0" xfId="0" applyFont="1" applyFill="1"/>
    <xf numFmtId="0" fontId="2" fillId="23" borderId="0" xfId="0" applyFont="1" applyFill="1"/>
    <xf numFmtId="0" fontId="3" fillId="23" borderId="0" xfId="0" applyFont="1" applyFill="1"/>
    <xf numFmtId="0" fontId="2" fillId="22" borderId="23" xfId="0" applyFont="1" applyFill="1" applyBorder="1"/>
    <xf numFmtId="0" fontId="1" fillId="17" borderId="0" xfId="0" applyFont="1" applyFill="1"/>
    <xf numFmtId="0" fontId="9" fillId="8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2" fontId="0" fillId="11" borderId="0" xfId="0" applyNumberFormat="1" applyFill="1"/>
    <xf numFmtId="164" fontId="0" fillId="11" borderId="0" xfId="0" applyNumberFormat="1" applyFill="1"/>
    <xf numFmtId="0" fontId="0" fillId="24" borderId="0" xfId="0" applyFill="1"/>
    <xf numFmtId="0" fontId="13" fillId="11" borderId="5" xfId="0" applyFont="1" applyFill="1" applyBorder="1"/>
    <xf numFmtId="0" fontId="7" fillId="11" borderId="5" xfId="0" applyFont="1" applyFill="1" applyBorder="1"/>
    <xf numFmtId="0" fontId="0" fillId="11" borderId="5" xfId="0" applyFill="1" applyBorder="1"/>
    <xf numFmtId="166" fontId="15" fillId="11" borderId="3" xfId="0" applyNumberFormat="1" applyFont="1" applyFill="1" applyBorder="1" applyAlignment="1">
      <alignment horizontal="center"/>
    </xf>
    <xf numFmtId="2" fontId="0" fillId="0" borderId="11" xfId="0" applyNumberFormat="1" applyBorder="1"/>
    <xf numFmtId="2" fontId="0" fillId="13" borderId="7" xfId="0" applyNumberFormat="1" applyFill="1" applyBorder="1"/>
    <xf numFmtId="2" fontId="0" fillId="0" borderId="7" xfId="0" applyNumberFormat="1" applyBorder="1"/>
    <xf numFmtId="2" fontId="0" fillId="13" borderId="6" xfId="0" applyNumberFormat="1" applyFill="1" applyBorder="1"/>
    <xf numFmtId="0" fontId="1" fillId="0" borderId="0" xfId="0" applyFont="1"/>
    <xf numFmtId="0" fontId="7" fillId="8" borderId="2" xfId="0" applyFont="1" applyFill="1" applyBorder="1"/>
    <xf numFmtId="0" fontId="26" fillId="0" borderId="0" xfId="0" applyFont="1"/>
    <xf numFmtId="0" fontId="0" fillId="11" borderId="0" xfId="0" applyFill="1" applyAlignment="1">
      <alignment horizontal="center"/>
    </xf>
    <xf numFmtId="166" fontId="0" fillId="9" borderId="0" xfId="0" applyNumberForma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Satisfaisant" xfId="1" builtinId="26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charset val="1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color rgb="FF000000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E2EFDA"/>
        </patternFill>
      </fill>
    </dxf>
    <dxf>
      <numFmt numFmtId="0" formatCode="General"/>
    </dxf>
    <dxf>
      <numFmt numFmtId="164" formatCode="_-* #,##0.00\ [$€-40C]_-;\-* #,##0.00\ [$€-40C]_-;_-* &quot;-&quot;??\ [$€-40C]_-;_-@_-"/>
    </dxf>
    <dxf>
      <font>
        <color rgb="FF9C0006"/>
      </font>
      <fill>
        <patternFill patternType="solid">
          <bgColor rgb="FFFF0000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FF0000"/>
      </font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375623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numFmt numFmtId="14" formatCode="0.00%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#,##0.00\ &quot;€&quot;"/>
    </dxf>
    <dxf>
      <numFmt numFmtId="166" formatCode="#,##0.00\ &quot;€&quot;"/>
    </dxf>
    <dxf>
      <numFmt numFmtId="166" formatCode="#,##0.00\ &quot;€&quot;"/>
    </dxf>
    <dxf>
      <numFmt numFmtId="166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A9D0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A9D08E"/>
        </patternFill>
      </fill>
    </dxf>
    <dxf>
      <fill>
        <patternFill patternType="solid">
          <fgColor indexed="64"/>
          <bgColor rgb="FFA9D08E"/>
        </patternFill>
      </fill>
    </dxf>
    <dxf>
      <fill>
        <patternFill patternType="solid">
          <fgColor indexed="64"/>
          <bgColor rgb="FFA9D0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numFmt numFmtId="2" formatCode="0.00"/>
    </dxf>
    <dxf>
      <fill>
        <patternFill patternType="solid">
          <fgColor indexed="64"/>
          <bgColor rgb="FFA9D08E"/>
        </patternFill>
      </fill>
    </dxf>
    <dxf>
      <fill>
        <patternFill patternType="solid">
          <fgColor indexed="64"/>
          <bgColor rgb="FFA9D08E"/>
        </patternFill>
      </fill>
    </dxf>
    <dxf>
      <border diagonalUp="0" diagonalDown="0">
        <left/>
        <right style="thin">
          <color rgb="FF000000"/>
        </right>
        <top/>
        <bottom/>
        <vertical/>
        <horizontal/>
      </border>
    </dxf>
    <dxf>
      <border diagonalUp="0" diagonalDown="0">
        <left/>
        <right style="thin">
          <color rgb="FF000000"/>
        </right>
        <top/>
        <bottom/>
        <vertical/>
        <horizontal/>
      </border>
    </dxf>
    <dxf>
      <fill>
        <patternFill patternType="solid">
          <fgColor indexed="64"/>
          <bgColor rgb="FF808080"/>
        </patternFill>
      </fill>
      <border diagonalUp="0" diagonalDown="0">
        <left/>
        <right style="thin">
          <color rgb="FF000000"/>
        </right>
        <top/>
        <bottom/>
        <vertical/>
        <horizontal/>
      </border>
    </dxf>
    <dxf>
      <fill>
        <patternFill patternType="solid">
          <fgColor indexed="64"/>
          <bgColor rgb="FFD9D9D9"/>
        </patternFill>
      </fill>
      <border diagonalUp="0" diagonalDown="0">
        <left/>
        <right style="thin">
          <color rgb="FF000000"/>
        </right>
        <top/>
        <bottom/>
        <vertical/>
        <horizontal/>
      </border>
    </dxf>
    <dxf>
      <font>
        <color rgb="FF000000"/>
      </font>
      <fill>
        <patternFill patternType="solid">
          <fgColor indexed="64"/>
          <bgColor rgb="FFA9D08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numFmt numFmtId="0" formatCode="General"/>
    </dxf>
    <dxf>
      <fill>
        <patternFill patternType="solid">
          <fgColor indexed="64"/>
          <bgColor rgb="FFA6A6A6"/>
        </patternFill>
      </fill>
    </dxf>
    <dxf>
      <fill>
        <patternFill patternType="solid">
          <fgColor indexed="64"/>
          <bgColor rgb="FFFFFFFF"/>
        </patternFill>
      </fill>
      <border>
        <left style="thin">
          <color rgb="FF000000"/>
        </left>
      </border>
    </dxf>
    <dxf>
      <fill>
        <patternFill patternType="solid">
          <fgColor indexed="64"/>
          <bgColor rgb="FFFFFFFF"/>
        </patternFill>
      </fill>
      <border>
        <left style="thin">
          <color rgb="FF000000"/>
        </left>
      </border>
    </dxf>
    <dxf>
      <fill>
        <patternFill patternType="solid">
          <fgColor indexed="64"/>
          <bgColor rgb="FFFFFFFF"/>
        </patternFill>
      </fill>
      <border>
        <left style="thin">
          <color rgb="FF000000"/>
        </left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</font>
      <numFmt numFmtId="0" formatCode="General"/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color rgb="FF000000"/>
      </font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 patternType="solid">
          <bgColor rgb="FFA9D08E"/>
        </patternFill>
      </fill>
    </dxf>
  </dxfs>
  <tableStyles count="0" defaultTableStyle="TableStyleMedium2" defaultPivotStyle="PivotStyleLight16"/>
  <colors>
    <mruColors>
      <color rgb="FFE8FFCF"/>
      <color rgb="FF50EB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Parts dépenses et gains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74-4441-87C0-70C4275A9E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74-4441-87C0-70C4275A9E5C}"/>
              </c:ext>
            </c:extLst>
          </c:dPt>
          <c:cat>
            <c:strRef>
              <c:f>Décision!$Q$9:$R$9</c:f>
              <c:strCache>
                <c:ptCount val="2"/>
                <c:pt idx="0">
                  <c:v>DEPENSES</c:v>
                </c:pt>
                <c:pt idx="1">
                  <c:v>GAIN</c:v>
                </c:pt>
              </c:strCache>
            </c:strRef>
          </c:cat>
          <c:val>
            <c:numRef>
              <c:f>Décision!$Q$10:$R$10</c:f>
              <c:numCache>
                <c:formatCode>#,##0.00\ "€"</c:formatCode>
                <c:ptCount val="2"/>
                <c:pt idx="0" formatCode="_(&quot;€&quot;* #,##0.00_);_(&quot;€&quot;* \(#,##0.00\);_(&quot;€&quot;* &quot;-&quot;??_);_(@_)">
                  <c:v>1387834</c:v>
                </c:pt>
                <c:pt idx="1">
                  <c:v>3656670.9000000004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E-439F-A0A9-ECB6EE05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8</xdr:row>
          <xdr:rowOff>114300</xdr:rowOff>
        </xdr:from>
        <xdr:to>
          <xdr:col>3</xdr:col>
          <xdr:colOff>1057275</xdr:colOff>
          <xdr:row>12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 de collaborateur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1428750</xdr:colOff>
          <xdr:row>8</xdr:row>
          <xdr:rowOff>142875</xdr:rowOff>
        </xdr:from>
        <xdr:to>
          <xdr:col>4</xdr:col>
          <xdr:colOff>1381125</xdr:colOff>
          <xdr:row>13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Régulateur de collaborateur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501361</xdr:colOff>
      <xdr:row>0</xdr:row>
      <xdr:rowOff>0</xdr:rowOff>
    </xdr:from>
    <xdr:to>
      <xdr:col>28</xdr:col>
      <xdr:colOff>425161</xdr:colOff>
      <xdr:row>16</xdr:row>
      <xdr:rowOff>122959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35</xdr:row>
          <xdr:rowOff>123825</xdr:rowOff>
        </xdr:from>
        <xdr:to>
          <xdr:col>4</xdr:col>
          <xdr:colOff>57150</xdr:colOff>
          <xdr:row>40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Achats de machines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35</xdr:row>
          <xdr:rowOff>161925</xdr:rowOff>
        </xdr:from>
        <xdr:to>
          <xdr:col>14</xdr:col>
          <xdr:colOff>419100</xdr:colOff>
          <xdr:row>39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Objectif de vente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981075</xdr:colOff>
          <xdr:row>35</xdr:row>
          <xdr:rowOff>152400</xdr:rowOff>
        </xdr:from>
        <xdr:to>
          <xdr:col>16</xdr:col>
          <xdr:colOff>323850</xdr:colOff>
          <xdr:row>39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Remise à zero des objectif de vente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35</xdr:row>
          <xdr:rowOff>114300</xdr:rowOff>
        </xdr:from>
        <xdr:to>
          <xdr:col>7</xdr:col>
          <xdr:colOff>600075</xdr:colOff>
          <xdr:row>40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Remise à zero des machines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323850</xdr:colOff>
          <xdr:row>18</xdr:row>
          <xdr:rowOff>57150</xdr:rowOff>
        </xdr:from>
        <xdr:to>
          <xdr:col>38</xdr:col>
          <xdr:colOff>47625</xdr:colOff>
          <xdr:row>23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 Mensuelle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161925</xdr:colOff>
          <xdr:row>27</xdr:row>
          <xdr:rowOff>19050</xdr:rowOff>
        </xdr:from>
        <xdr:to>
          <xdr:col>38</xdr:col>
          <xdr:colOff>171450</xdr:colOff>
          <xdr:row>32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15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B4DA53-1CE4-4583-B8A0-FA5B7B96B856}" name="Tableau8" displayName="Tableau8" ref="A1:B9" totalsRowShown="0">
  <autoFilter ref="A1:B9" xr:uid="{34B4DA53-1CE4-4583-B8A0-FA5B7B96B856}"/>
  <tableColumns count="2">
    <tableColumn id="1" xr3:uid="{D2A90387-1540-4D8B-B9ED-B3FB10F3A391}" name="Type Employé" dataDxfId="84"/>
    <tableColumn id="2" xr3:uid="{173515C4-D400-405E-B519-08DA537DDC6E}" name="En Possession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0077E6F-F365-453C-83F5-54E8637DF562}" name="Tableau13" displayName="Tableau13" ref="A12:B20" totalsRowShown="0" tableBorderDxfId="83">
  <autoFilter ref="A12:B20" xr:uid="{30077E6F-F365-453C-83F5-54E8637DF562}"/>
  <tableColumns count="2">
    <tableColumn id="1" xr3:uid="{33C4DC2D-490F-4BDD-8D69-3CF45718A8A4}" name="Type Employé" dataDxfId="82"/>
    <tableColumn id="2" xr3:uid="{5D9F9E31-18BB-4916-8B7E-DBCBC5463DCA}" name="Employé nécessaires" dataDxfId="81">
      <calculatedColumnFormula>ROUNDUP(B2/$G$5,0)</calculatedColumnFormula>
    </tableColumn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D7DB9B-F8F5-43CC-BA5E-FFCFCC488EDF}" name="Tableau14" displayName="Tableau14" ref="F1:G8" totalsRowShown="0" headerRowDxfId="80">
  <autoFilter ref="F1:G8" xr:uid="{52D7DB9B-F8F5-43CC-BA5E-FFCFCC488EDF}"/>
  <tableColumns count="2">
    <tableColumn id="1" xr3:uid="{6690A735-C477-4CD3-9BF9-F35901445A5C}" name="Encadrement du personnel" dataDxfId="79"/>
    <tableColumn id="2" xr3:uid="{6CD4F8DD-2224-4A29-8E49-4CE0E14FF23E}" name="Nombre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3F0065-C63E-4AA6-9D46-554DF90C2F3D}" name="Tableau15" displayName="Tableau15" ref="F23:G31" totalsRowShown="0" tableBorderDxfId="78">
  <autoFilter ref="F23:G31" xr:uid="{133F0065-C63E-4AA6-9D46-554DF90C2F3D}"/>
  <tableColumns count="2">
    <tableColumn id="1" xr3:uid="{2035DAAD-78C9-46A0-ABB4-63AF13FBBA9F}" name="Type Employé" dataDxfId="77"/>
    <tableColumn id="2" xr3:uid="{E7AFFB4C-A246-4350-91AE-2B84A1A50AC7}" name="Agent Maitrise nécessaire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48C5B0-4FFD-4032-ABB5-D67C9835AAD0}" name="Tableau1517" displayName="Tableau1517" ref="F12:G20" totalsRowShown="0" tableBorderDxfId="76">
  <autoFilter ref="F12:G20" xr:uid="{1B48C5B0-4FFD-4032-ABB5-D67C9835AAD0}"/>
  <tableColumns count="2">
    <tableColumn id="1" xr3:uid="{F7FF0F9F-2601-46E9-B703-98C7F852959C}" name="Type Employé" dataDxfId="75"/>
    <tableColumn id="2" xr3:uid="{CE3FAB1C-E682-4795-85E2-CC9244AF52F7}" name="Cadre Moyen nécessaires" dataDxfId="74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1663E15-AA12-43F2-95AF-5B80C1F17D68}" name="Tableau1524" displayName="Tableau1524" ref="A23:B31" totalsRowShown="0" tableBorderDxfId="73">
  <autoFilter ref="A23:B31" xr:uid="{C1663E15-AA12-43F2-95AF-5B80C1F17D68}"/>
  <tableColumns count="2">
    <tableColumn id="1" xr3:uid="{FB0A7EAB-2328-44EC-BD42-CF9AD17A82C3}" name="Type Employé" dataDxfId="72"/>
    <tableColumn id="2" xr3:uid="{73A75FC1-3502-40EF-A758-9138F9B417D0}" name="Assistant commerciaaux nécessaires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1A482C-80F4-4262-B5D8-76444113B596}" name="Tableau1" displayName="Tableau1" ref="J10:K14" totalsRowShown="0">
  <autoFilter ref="J10:K14" xr:uid="{481A482C-80F4-4262-B5D8-76444113B596}"/>
  <tableColumns count="2">
    <tableColumn id="1" xr3:uid="{7F3B21B6-599C-47C3-8300-05554BA200F2}" name="postes"/>
    <tableColumn id="2" xr3:uid="{6F2711D7-4E1D-40E9-9445-1F22F14DAD9E}" name="Nombre Ouvriers / Machines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5367D-43CE-4663-B288-A1A970644FFB}" name="TabPostes" displayName="TabPostes" ref="A2:D10" totalsRowShown="0" headerRowDxfId="67" dataDxfId="66">
  <autoFilter ref="A2:D10" xr:uid="{4CE5367D-43CE-4663-B288-A1A970644FFB}"/>
  <tableColumns count="4">
    <tableColumn id="1" xr3:uid="{58C3271F-8627-47AD-81BC-852AC48E31D9}" name="Postes" dataDxfId="65"/>
    <tableColumn id="2" xr3:uid="{15996CA6-0253-4367-8A8B-653B4D9BF266}" name="Salaire" dataDxfId="64"/>
    <tableColumn id="3" xr3:uid="{062A81A8-8990-4EC0-A379-69564B6070F2}" name="Effectif" dataDxfId="63"/>
    <tableColumn id="4" xr3:uid="{451FF671-7A77-4872-B7E8-C2EB2B8D23AD}" name="Salaire à verser" dataDxfId="62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3AFABF-9222-4868-A36C-AE19E98C1FF0}" name="TabMachines" displayName="TabMachines" ref="F2:K8" totalsRowShown="0" headerRowDxfId="61">
  <autoFilter ref="F2:K8" xr:uid="{4D3AFABF-9222-4868-A36C-AE19E98C1FF0}"/>
  <tableColumns count="6">
    <tableColumn id="1" xr3:uid="{1F6F585C-13A6-4340-85C1-0E41A86BEC01}" name="Machines"/>
    <tableColumn id="2" xr3:uid="{DAFB81CB-C108-461C-82B6-14D32BBB39F3}" name="Coût Fonctionnement"/>
    <tableColumn id="3" xr3:uid="{E5BD4CFA-FF42-4265-9EBC-DD14EC34E3EB}" name="Nombre machines"/>
    <tableColumn id="4" xr3:uid="{E81822CF-A6CB-42E2-BF90-A2D68964E416}" name="Nombre ouvriers/ Machines"/>
    <tableColumn id="5" xr3:uid="{B345ED2F-8AEF-43DA-8752-821C86802287}" name="Total Ouvriers" dataDxfId="60"/>
    <tableColumn id="6" xr3:uid="{7C3D24F8-9611-4E0F-A9BF-525355484B2C}" name="TOTAL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226A20-B986-4A7C-9873-BCE7AD2EDA5A}" name="TabProduitCoût" displayName="TabProduitCoût" ref="A19:C24" totalsRowShown="0" headerRowDxfId="59" dataDxfId="58">
  <autoFilter ref="A19:C24" xr:uid="{57226A20-B986-4A7C-9873-BCE7AD2EDA5A}"/>
  <tableColumns count="3">
    <tableColumn id="1" xr3:uid="{D5CC5F61-1002-4890-8DBF-1BF1670C3A02}" name="Produit" dataDxfId="57"/>
    <tableColumn id="2" xr3:uid="{B67A2E25-B3D9-4CB2-9D7A-5CCA55BB91F9}" name="Coût express"/>
    <tableColumn id="3" xr3:uid="{08B3112F-FA21-4C43-B28E-9569F8449FD6}" name="Coût normal"/>
  </tableColumns>
  <tableStyleInfo name="TableStyleLight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944E80-54C7-4A59-9A1D-A1306C8B8940}" name="TabCommande" displayName="TabCommande" ref="E19:F24" totalsRowShown="0" headerRowDxfId="56" dataDxfId="55">
  <autoFilter ref="E19:F24" xr:uid="{2D944E80-54C7-4A59-9A1D-A1306C8B8940}"/>
  <tableColumns count="2">
    <tableColumn id="1" xr3:uid="{8092B432-4466-40F8-8200-E5B99FA809EC}" name="Commande Express" dataDxfId="54">
      <calculatedColumnFormula>J50</calculatedColumnFormula>
    </tableColumn>
    <tableColumn id="2" xr3:uid="{8437470F-EE07-4CAC-9846-C5438A8D23B4}" name="Commande Normal" dataDxfId="53"/>
  </tableColumns>
  <tableStyleInfo name="TableStyleLight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D3BA279-C7DA-4867-806C-3FBDFC694D29}" name="TabCoupExNo" displayName="TabCoupExNo" ref="H19:J24" totalsRowShown="0">
  <autoFilter ref="H19:J24" xr:uid="{BD3BA279-C7DA-4867-806C-3FBDFC694D29}"/>
  <tableColumns count="3">
    <tableColumn id="1" xr3:uid="{A6EB91B6-B1B5-4ECE-B233-1DDBBE2D8115}" name="Coût Express Final" dataDxfId="52">
      <calculatedColumnFormula>B20*E20</calculatedColumnFormula>
    </tableColumn>
    <tableColumn id="2" xr3:uid="{7E01136E-0D64-4C0F-9401-10D02554E74A}" name="Coût Normal Final" dataDxfId="51">
      <calculatedColumnFormula>C20*F20</calculatedColumnFormula>
    </tableColumn>
    <tableColumn id="3" xr3:uid="{3CAF6E96-8491-4AA2-9B9C-03312695FBE7}" name="Total" dataDxfId="50">
      <calculatedColumnFormula>SUM(H20,I20)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1B6E37-B6E0-45F3-9BB1-49D854BAA8BF}" name="Tableau7" displayName="Tableau7" ref="D28:F36" totalsRowShown="0">
  <autoFilter ref="D28:F36" xr:uid="{CE1B6E37-B6E0-45F3-9BB1-49D854BAA8BF}"/>
  <tableColumns count="3">
    <tableColumn id="1" xr3:uid="{E3234F95-31FA-41C5-ADCC-5CF780EF8831}" name="Calcul en quantité" dataDxfId="49"/>
    <tableColumn id="2" xr3:uid="{69948501-C8B7-4CBC-A2D0-D37625803D19}" name="QUANTITE EN KILOS EXPRESS"/>
    <tableColumn id="3" xr3:uid="{3FBC917E-EF90-4FC3-A2DE-2B1C9A9DF927}" name="QUANTITE EN KILOS NORMALES"/>
  </tableColumns>
  <tableStyleInfo name="TableStyleLight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194DF07-5C3B-4B07-BC34-C8CAB1718708}" name="Tableau27" displayName="Tableau27" ref="A49:G64" totalsRowShown="0">
  <autoFilter ref="A49:G64" xr:uid="{F194DF07-5C3B-4B07-BC34-C8CAB1718708}"/>
  <tableColumns count="7">
    <tableColumn id="1" xr3:uid="{BB72F75C-0A3E-4B2F-AD24-04F6DBD7BD3A}" name="Le type" dataDxfId="48"/>
    <tableColumn id="2" xr3:uid="{B8FF2FFE-7F55-4777-AAEC-6F283479F96C}" name="Quantité" dataDxfId="47"/>
    <tableColumn id="3" xr3:uid="{BEF04666-7519-4DD8-BC1A-3DFA3BFAFADF}" name="nom" dataDxfId="46"/>
    <tableColumn id="4" xr3:uid="{1A405D83-E696-4AF3-AC5F-8891572D9C0D}" name="Quantité par kg" dataDxfId="45"/>
    <tableColumn id="5" xr3:uid="{E5FEB2A6-0906-4502-A4C6-BD8474AB9B34}" name="prix de vente par unité"/>
    <tableColumn id="6" xr3:uid="{FD2BBB15-5148-4729-8263-5A79B42A7E71}" name="PRIX TOTAL"/>
    <tableColumn id="7" xr3:uid="{AF73A540-4778-430D-8466-016F10DD99B3}" name="Besoin en matière première"/>
  </tableColumns>
  <tableStyleInfo name="TableStyleLight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75C0BF5-8829-4696-AC01-405E842F6F7C}" name="Tableau5" displayName="Tableau5" ref="A82:F91" totalsRowShown="0" headerRowDxfId="44">
  <autoFilter ref="A82:F91" xr:uid="{B75C0BF5-8829-4696-AC01-405E842F6F7C}"/>
  <tableColumns count="6">
    <tableColumn id="1" xr3:uid="{447EC3CB-77F6-4441-BF68-5479B015AC79}" name="ingrédients après transformation en KG" dataDxfId="43"/>
    <tableColumn id="2" xr3:uid="{4D30791C-7C55-4AC1-A010-7E089D6DA8A1}" name="poulet"/>
    <tableColumn id="3" xr3:uid="{F91761B6-8F20-490D-BB55-4D9407F408EC}" name="canard"/>
    <tableColumn id="4" xr3:uid="{705E1AA4-69BD-4D01-A159-87AD3D549171}" name="porc" dataDxfId="42"/>
    <tableColumn id="5" xr3:uid="{08B9CB55-352F-4A45-83D9-7736C0386DD2}" name="fer" dataDxfId="41"/>
    <tableColumn id="6" xr3:uid="{A877DE3C-B68A-46E8-9323-FA7381860875}" name="plastique"/>
  </tableColumns>
  <tableStyleInfo name="TableStyleLight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EB38FD-040C-4C3F-B432-BE1059B0CFE8}" name="Tableau10" displayName="Tableau10" ref="H82:M90" totalsRowShown="0" headerRowDxfId="40">
  <autoFilter ref="H82:M90" xr:uid="{8FEB38FD-040C-4C3F-B432-BE1059B0CFE8}"/>
  <tableColumns count="6">
    <tableColumn id="1" xr3:uid="{2401A471-7120-4E56-ACBA-83FD9A484F37}" name="produits finis production en KG" dataDxfId="39"/>
    <tableColumn id="2" xr3:uid="{6BF6D03D-CB49-45EE-A2F6-FDEE3D1D9D6F}" name="terrine de volaille"/>
    <tableColumn id="3" xr3:uid="{D4221BFD-77D4-47BF-A15C-46B26B7B19FB}" name="pate de porc"/>
    <tableColumn id="4" xr3:uid="{CD886757-FB63-4D7B-8B87-ECC27DE6F48F}" name="cuisse de poulet "/>
    <tableColumn id="5" xr3:uid="{CDC56850-E5D6-43B8-B03C-56717D93B94F}" name="mousse de canard"/>
    <tableColumn id="6" xr3:uid="{08CCD6D7-575F-4A8F-B8B7-1D30FB708FC5}" name="jambon"/>
  </tableColumns>
  <tableStyleInfo name="TableStyleLight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70E7A15-A2F8-4662-9F28-794E298F42A5}" name="Tableau12" displayName="Tableau12" ref="A94:E102" totalsRowShown="0" headerRowDxfId="38" dataDxfId="37">
  <autoFilter ref="A94:E102" xr:uid="{770E7A15-A2F8-4662-9F28-794E298F42A5}"/>
  <tableColumns count="5">
    <tableColumn id="1" xr3:uid="{FEC3B3A4-D26C-4B5B-9FED-3603A5BB3285}" name="utilisation machine selon viande en KG" dataDxfId="36"/>
    <tableColumn id="2" xr3:uid="{7F049FC7-F59A-4563-B3C0-26056743C96D}" name="découpe ( OU )" dataDxfId="35"/>
    <tableColumn id="3" xr3:uid="{F82D33AA-B3D9-4EB1-8534-2337052F3C58}" name="broyage/mixage ( OU )" dataDxfId="34"/>
    <tableColumn id="4" xr3:uid="{C3B58B7C-EE36-4798-AC08-16B34346CEE6}" name="cuisson ( OU )"/>
    <tableColumn id="5" xr3:uid="{A0EC2847-C6C5-4AFB-93E0-D816E465643B}" name="emballage ( OU )"/>
  </tableColumns>
  <tableStyleInfo name="TableStyleLight2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707B1E0-5265-447C-B00C-B368FE766282}" name="Tableau24" displayName="Tableau24" ref="G94:K95" totalsRowShown="0">
  <autoFilter ref="G94:K95" xr:uid="{B707B1E0-5265-447C-B00C-B368FE766282}"/>
  <tableColumns count="5">
    <tableColumn id="1" xr3:uid="{38391A77-AC8F-47C8-B84D-607766C340D6}" name="Type Machine"/>
    <tableColumn id="2" xr3:uid="{AA41CDF0-C5C5-4077-9353-D970A59B5B34}" name="Découpe" dataDxfId="33"/>
    <tableColumn id="3" xr3:uid="{481E1893-DB22-47BA-BC7D-9B6C22BC2EC0}" name="Broyage/Mixage" dataDxfId="32"/>
    <tableColumn id="4" xr3:uid="{B951BFDF-7E58-4CB9-8597-3A649A3C3636}" name="Cuisson" dataDxfId="31"/>
    <tableColumn id="5" xr3:uid="{D3E9307E-3A7D-4743-AFA3-955418B52A3E}" name="Emballage" dataDxfId="30"/>
  </tableColumns>
  <tableStyleInfo name="TableStyleLight2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220086B-A325-48CF-9BC7-5041364CF64E}" name="Tableau39" displayName="Tableau39" ref="A105:F114" totalsRowShown="0">
  <autoFilter ref="A105:F114" xr:uid="{9220086B-A325-48CF-9BC7-5041364CF64E}"/>
  <tableColumns count="6">
    <tableColumn id="1" xr3:uid="{51BA1EE2-D300-45FC-AB82-5531186A150B}" name="Produits" dataDxfId="29"/>
    <tableColumn id="2" xr3:uid="{ED819876-D372-4E8F-AE7A-C33BBB136638}" name="Nom de l'ingrédient"/>
    <tableColumn id="3" xr3:uid="{825F173C-9E6D-4655-8517-636E4BF7C2F7}" name="quantité en KG"/>
    <tableColumn id="4" xr3:uid="{04EF8E98-EC00-4ED6-8862-2FA5AB6119EE}" name="Poids Net" dataDxfId="28"/>
    <tableColumn id="5" xr3:uid="{29B5EBDE-D456-44BC-9BBC-F03E925AF6DF}" name="Pourcentage de composants" dataDxfId="27"/>
    <tableColumn id="6" xr3:uid="{13204B88-6608-49A6-9E63-130DF105D15E}" name="Poids par produit par KG" dataDxfId="26"/>
  </tableColumns>
  <tableStyleInfo name="TableStyleLight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09A46C-1080-46AB-98A6-7B06DDFF2F9F}" name="Medias" displayName="Medias" ref="A1:G136" totalsRowShown="0">
  <autoFilter ref="A1:G136" xr:uid="{2E09A46C-1080-46AB-98A6-7B06DDFF2F9F}">
    <filterColumn colId="0">
      <filters>
        <filter val="Jambon"/>
      </filters>
    </filterColumn>
  </autoFilter>
  <sortState xmlns:xlrd2="http://schemas.microsoft.com/office/spreadsheetml/2017/richdata2" ref="A2:G136">
    <sortCondition descending="1" ref="G1:G136"/>
  </sortState>
  <tableColumns count="7">
    <tableColumn id="1" xr3:uid="{00A83245-3969-449E-8F0D-42CDBF573C85}" name="Produit"/>
    <tableColumn id="2" xr3:uid="{76515D4A-79A6-4022-AAC9-F576DE9DFCC5}" name="Canal" dataDxfId="18"/>
    <tableColumn id="3" xr3:uid="{45339557-CB50-4033-B6E3-5605E5D05964}" name="Nom"/>
    <tableColumn id="4" xr3:uid="{3DEEE8E5-0210-4412-8EB0-13F63D1F006E}" name="Offre"/>
    <tableColumn id="5" xr3:uid="{6290E7A1-8C7C-4DC1-B243-11BD5AFB3135}" name="GPR"/>
    <tableColumn id="6" xr3:uid="{E1C6E063-1343-4DD1-A030-FB007598DD5A}" name="Prix"/>
    <tableColumn id="7" xr3:uid="{A5F3A326-4DC2-4D8D-825A-288A24A6ACDA}" name="Coef Rent" dataDxfId="17">
      <calculatedColumnFormula>Medias[[#This Row],[GPR]]/Medias[[#This Row],[Prix]]</calculatedColumnFormula>
    </tableColumn>
  </tableColumns>
  <tableStyleInfo name="TableStyleLight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B779258-26EA-42E1-84F2-EA32468444FD}" name="Tableau44" displayName="Tableau44" ref="A1:I2" totalsRowShown="0" headerRowDxfId="16" dataDxfId="15">
  <autoFilter ref="A1:I2" xr:uid="{CB779258-26EA-42E1-84F2-EA32468444FD}"/>
  <tableColumns count="9">
    <tableColumn id="1" xr3:uid="{CEA56F6E-E94B-4FCF-B34D-D60286D27DDD}" name="Période" dataDxfId="14"/>
    <tableColumn id="2" xr3:uid="{F39D77C1-74A3-40C2-9B42-A72ABACB04E4}" name="Mai" dataDxfId="13"/>
    <tableColumn id="3" xr3:uid="{338CE6A6-90FC-40DD-94E3-70116A7871AE}" name="Juin" dataDxfId="12"/>
    <tableColumn id="4" xr3:uid="{70CFF4A9-6C29-4A4A-B7D8-41A1D4D0700D}" name="Juillet" dataDxfId="11"/>
    <tableColumn id="5" xr3:uid="{AEA455BE-AE86-423F-A809-B768C107E2BA}" name="Août" dataDxfId="10"/>
    <tableColumn id="6" xr3:uid="{C31EC5CF-EBF6-41FF-9905-15D7771ECD0F}" name="Septembre" dataDxfId="9"/>
    <tableColumn id="7" xr3:uid="{E601AC0E-0695-411E-A66E-31648144FD41}" name="Octobre" dataDxfId="8"/>
    <tableColumn id="8" xr3:uid="{9B6AC710-0C49-4FA1-ABBD-1B10FCCAB3D8}" name="Novembre" dataDxfId="7"/>
    <tableColumn id="9" xr3:uid="{DD264931-A6F4-4B4F-8852-AADF294271F8}" name="Décembre" dataDxfId="6"/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1A525D2-EC5A-4A72-B7A8-1DF9ABA8299C}" name="Tableau17" displayName="Tableau17" ref="A1:F8" totalsRowShown="0">
  <autoFilter ref="A1:F8" xr:uid="{51A525D2-EC5A-4A72-B7A8-1DF9ABA8299C}"/>
  <tableColumns count="6">
    <tableColumn id="1" xr3:uid="{E03A8367-B141-42BA-8E2A-DAA8474C5D5D}" name="Mois"/>
    <tableColumn id="2" xr3:uid="{7259811A-1B08-4EA4-9250-5DB07DE68DAB}" name="Cuisses de poulet" dataDxfId="5">
      <calculatedColumnFormula>($B$9*I2)/$A$13</calculatedColumnFormula>
    </tableColumn>
    <tableColumn id="3" xr3:uid="{AFC569E6-87BA-4CEF-89B8-0F9F1486CC10}" name="Jambon" dataDxfId="4">
      <calculatedColumnFormula>($C$9*J2)/$A$13</calculatedColumnFormula>
    </tableColumn>
    <tableColumn id="4" xr3:uid="{F6198980-7730-43EB-B2E7-F3AB21DD7B7A}" name="Pâté de porc" dataDxfId="3">
      <calculatedColumnFormula>($D$9*K2)/$A$13</calculatedColumnFormula>
    </tableColumn>
    <tableColumn id="5" xr3:uid="{A6F03A45-19B1-4087-9F0B-11CE346B986F}" name="Terrine de volaille" dataDxfId="2">
      <calculatedColumnFormula>($E$9*L2)/$A$13</calculatedColumnFormula>
    </tableColumn>
    <tableColumn id="6" xr3:uid="{54FE566F-098B-4CC7-8F68-2C9458FB19CB}" name="Mousse de canard" dataDxfId="1">
      <calculatedColumnFormula>($F$9*M2)/$A$13</calculatedColumnFormula>
    </tableColumn>
  </tableColumns>
  <tableStyleInfo name="TableStyleLight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9E326C0-8BAA-4835-8C0C-92B2DD42182D}" name="Tableau18" displayName="Tableau18" ref="H1:M8" totalsRowShown="0">
  <autoFilter ref="H1:M8" xr:uid="{D9E326C0-8BAA-4835-8C0C-92B2DD42182D}"/>
  <tableColumns count="6">
    <tableColumn id="1" xr3:uid="{4E64A4C9-200B-4C76-956F-3E9340937E78}" name="Mois"/>
    <tableColumn id="2" xr3:uid="{FD9B2106-D8BA-423E-AB25-BEB06BE2AC35}" name="Cuisse de poulet" dataDxfId="0"/>
    <tableColumn id="3" xr3:uid="{51CB0379-9797-4937-A3E0-5A1E99CF31FE}" name="Jambon"/>
    <tableColumn id="4" xr3:uid="{F38D877B-BF56-4DFA-8ECF-E5D8A1490BE8}" name="Pâté de porc"/>
    <tableColumn id="5" xr3:uid="{12F97AF0-BE5C-456C-A6BD-758FA1DF3214}" name="Terrine de volaille"/>
    <tableColumn id="6" xr3:uid="{B5ED2354-02EF-4D7F-9BC4-F798D42788C2}" name="Mousse de canard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C77CE-1673-4B85-A3F4-23FA3D699A20}">
  <sheetPr codeName="Feuil1"/>
  <dimension ref="A1:I31"/>
  <sheetViews>
    <sheetView zoomScaleNormal="100" workbookViewId="0">
      <selection activeCell="E20" sqref="E20"/>
    </sheetView>
  </sheetViews>
  <sheetFormatPr defaultColWidth="9.140625" defaultRowHeight="15"/>
  <cols>
    <col min="1" max="1" width="24.85546875" bestFit="1" customWidth="1"/>
    <col min="2" max="2" width="57.28515625" bestFit="1" customWidth="1"/>
    <col min="3" max="3" width="20.140625" bestFit="1" customWidth="1"/>
    <col min="4" max="4" width="28" bestFit="1" customWidth="1"/>
    <col min="5" max="5" width="22" bestFit="1" customWidth="1"/>
    <col min="6" max="6" width="50.7109375" bestFit="1" customWidth="1"/>
    <col min="7" max="7" width="50.85546875" bestFit="1" customWidth="1"/>
  </cols>
  <sheetData>
    <row r="1" spans="1:9">
      <c r="A1" t="s">
        <v>0</v>
      </c>
      <c r="B1" t="s">
        <v>1</v>
      </c>
      <c r="C1" s="99" t="s">
        <v>2</v>
      </c>
      <c r="D1" s="99" t="s">
        <v>3</v>
      </c>
      <c r="F1" s="6" t="s">
        <v>4</v>
      </c>
      <c r="G1" s="6" t="s">
        <v>5</v>
      </c>
    </row>
    <row r="2" spans="1:9">
      <c r="A2" s="105" t="s">
        <v>6</v>
      </c>
      <c r="B2">
        <v>13</v>
      </c>
      <c r="C2" t="str">
        <f>IF(B2&gt;=G31,"Suffisant","Manque")</f>
        <v>Suffisant</v>
      </c>
      <c r="D2">
        <f>G31-Tableau8[[#This Row],[En Possession]]</f>
        <v>0</v>
      </c>
      <c r="F2" s="106" t="s">
        <v>6</v>
      </c>
      <c r="G2">
        <v>5</v>
      </c>
    </row>
    <row r="3" spans="1:9">
      <c r="A3" s="105" t="s">
        <v>7</v>
      </c>
      <c r="B3">
        <v>5</v>
      </c>
      <c r="C3" t="str">
        <f>IF(B3&gt;=G20,"Suffisant","Manque")</f>
        <v>Suffisant</v>
      </c>
      <c r="D3">
        <f>G20-Tableau8[[#This Row],[En Possession]]</f>
        <v>0</v>
      </c>
      <c r="F3" s="15" t="s">
        <v>7</v>
      </c>
      <c r="G3">
        <v>18</v>
      </c>
    </row>
    <row r="4" spans="1:9">
      <c r="A4" s="105" t="s">
        <v>8</v>
      </c>
      <c r="B4">
        <v>5</v>
      </c>
      <c r="F4" s="106" t="s">
        <v>8</v>
      </c>
    </row>
    <row r="5" spans="1:9">
      <c r="A5" s="105" t="s">
        <v>9</v>
      </c>
      <c r="B5">
        <v>6</v>
      </c>
      <c r="C5" s="24" t="str">
        <f>IF(B5&gt;=B20,"Suffisant","Manque")</f>
        <v>Suffisant</v>
      </c>
      <c r="D5">
        <f>B20-Tableau8[[#This Row],[En Possession]]</f>
        <v>0</v>
      </c>
      <c r="F5" s="15" t="s">
        <v>9</v>
      </c>
      <c r="G5">
        <v>15</v>
      </c>
    </row>
    <row r="6" spans="1:9">
      <c r="A6" s="105" t="s">
        <v>10</v>
      </c>
      <c r="B6">
        <v>63</v>
      </c>
      <c r="C6" s="24" t="str">
        <f>IF(Calcul!J7&gt;B6,"Manque","Suffisant")</f>
        <v>Suffisant</v>
      </c>
      <c r="D6">
        <f>Calcul!J7-B6</f>
        <v>0</v>
      </c>
      <c r="F6" s="106" t="s">
        <v>10</v>
      </c>
    </row>
    <row r="7" spans="1:9">
      <c r="A7" s="105" t="s">
        <v>11</v>
      </c>
      <c r="B7">
        <v>1</v>
      </c>
      <c r="C7" t="str">
        <f>IF(B7&gt;=B31,"Suffisant","Manque")</f>
        <v>Suffisant</v>
      </c>
      <c r="D7">
        <f>B31-Tableau8[[#This Row],[En Possession]]</f>
        <v>0</v>
      </c>
      <c r="F7" s="15" t="s">
        <v>11</v>
      </c>
      <c r="G7">
        <v>5</v>
      </c>
    </row>
    <row r="8" spans="1:9">
      <c r="A8" s="105" t="s">
        <v>12</v>
      </c>
      <c r="B8">
        <v>1</v>
      </c>
      <c r="F8" s="106" t="s">
        <v>12</v>
      </c>
    </row>
    <row r="9" spans="1:9">
      <c r="A9" s="105" t="s">
        <v>13</v>
      </c>
      <c r="B9">
        <f>B2+B3+B4+B5+B6+B7+B8</f>
        <v>94</v>
      </c>
    </row>
    <row r="12" spans="1:9">
      <c r="A12" s="100" t="s">
        <v>0</v>
      </c>
      <c r="B12" t="s">
        <v>14</v>
      </c>
      <c r="F12" s="107" t="s">
        <v>0</v>
      </c>
      <c r="G12" t="s">
        <v>15</v>
      </c>
    </row>
    <row r="13" spans="1:9">
      <c r="A13" s="103" t="s">
        <v>6</v>
      </c>
      <c r="B13">
        <f>ROUNDUP(B2/$G$5,0)</f>
        <v>1</v>
      </c>
      <c r="F13" s="103" t="s">
        <v>6</v>
      </c>
      <c r="G13">
        <f>ROUNDUP(B2/$G$3,0)</f>
        <v>1</v>
      </c>
    </row>
    <row r="14" spans="1:9">
      <c r="A14" s="104" t="s">
        <v>7</v>
      </c>
      <c r="B14">
        <f>ROUNDUP(B3/$G$5,0)</f>
        <v>1</v>
      </c>
      <c r="F14" s="104" t="s">
        <v>7</v>
      </c>
      <c r="G14" t="s">
        <v>16</v>
      </c>
    </row>
    <row r="15" spans="1:9">
      <c r="A15" s="103" t="s">
        <v>8</v>
      </c>
      <c r="B15">
        <f>ROUNDUP(B4/$G$5,0)</f>
        <v>1</v>
      </c>
      <c r="F15" s="103" t="s">
        <v>8</v>
      </c>
      <c r="G15">
        <f>ROUNDUP(B4/$G$3,0)</f>
        <v>1</v>
      </c>
    </row>
    <row r="16" spans="1:9">
      <c r="A16" s="104" t="s">
        <v>9</v>
      </c>
      <c r="B16" t="s">
        <v>17</v>
      </c>
      <c r="F16" s="104" t="s">
        <v>9</v>
      </c>
      <c r="I16" s="58"/>
    </row>
    <row r="17" spans="1:7">
      <c r="A17" s="103" t="s">
        <v>10</v>
      </c>
      <c r="B17">
        <f>ROUNDUP(B6/$G$5,0)</f>
        <v>5</v>
      </c>
      <c r="F17" s="103" t="s">
        <v>10</v>
      </c>
      <c r="G17">
        <f>ROUNDUP(B6/$G$3,0)</f>
        <v>4</v>
      </c>
    </row>
    <row r="18" spans="1:7">
      <c r="A18" s="104" t="s">
        <v>11</v>
      </c>
      <c r="B18">
        <f>ROUNDUP(B7/$G$5,0)</f>
        <v>1</v>
      </c>
      <c r="F18" s="104" t="s">
        <v>11</v>
      </c>
    </row>
    <row r="19" spans="1:7">
      <c r="A19" s="103" t="s">
        <v>12</v>
      </c>
      <c r="B19">
        <f>ROUNDUP(B8/$G$5,0)</f>
        <v>1</v>
      </c>
      <c r="F19" s="103" t="s">
        <v>12</v>
      </c>
    </row>
    <row r="20" spans="1:7">
      <c r="A20" s="16" t="s">
        <v>13</v>
      </c>
      <c r="B20" s="4">
        <f>ROUNDUP((B2+B3+B4+B6+B7+B8)/$G$5,0)</f>
        <v>6</v>
      </c>
      <c r="F20" s="104" t="s">
        <v>13</v>
      </c>
      <c r="G20" s="4">
        <f>ROUNDUP((B4+B5+B2)/$G$2,0)</f>
        <v>5</v>
      </c>
    </row>
    <row r="23" spans="1:7">
      <c r="A23" s="100" t="s">
        <v>0</v>
      </c>
      <c r="B23" s="102" t="s">
        <v>18</v>
      </c>
      <c r="F23" s="107" t="s">
        <v>0</v>
      </c>
      <c r="G23" t="s">
        <v>19</v>
      </c>
    </row>
    <row r="24" spans="1:7">
      <c r="A24" s="101" t="s">
        <v>6</v>
      </c>
      <c r="F24" s="101" t="s">
        <v>6</v>
      </c>
      <c r="G24" t="s">
        <v>20</v>
      </c>
    </row>
    <row r="25" spans="1:7">
      <c r="A25" s="16" t="s">
        <v>7</v>
      </c>
      <c r="F25" s="16" t="s">
        <v>7</v>
      </c>
    </row>
    <row r="26" spans="1:7">
      <c r="A26" s="101" t="s">
        <v>8</v>
      </c>
      <c r="B26">
        <f>ROUNDUP(B4/$G$7,0)</f>
        <v>1</v>
      </c>
      <c r="F26" s="101" t="s">
        <v>8</v>
      </c>
    </row>
    <row r="27" spans="1:7">
      <c r="A27" s="16" t="s">
        <v>9</v>
      </c>
      <c r="F27" s="16" t="s">
        <v>9</v>
      </c>
    </row>
    <row r="28" spans="1:7">
      <c r="A28" s="101" t="s">
        <v>10</v>
      </c>
      <c r="F28" s="101" t="s">
        <v>10</v>
      </c>
      <c r="G28">
        <f>ROUNDUP(B6/$G$2,0)</f>
        <v>13</v>
      </c>
    </row>
    <row r="29" spans="1:7">
      <c r="A29" s="16" t="s">
        <v>11</v>
      </c>
      <c r="B29" t="s">
        <v>21</v>
      </c>
      <c r="F29" s="16" t="s">
        <v>11</v>
      </c>
    </row>
    <row r="30" spans="1:7">
      <c r="A30" s="101" t="s">
        <v>12</v>
      </c>
      <c r="F30" s="101" t="s">
        <v>12</v>
      </c>
    </row>
    <row r="31" spans="1:7">
      <c r="A31" s="16" t="s">
        <v>13</v>
      </c>
      <c r="B31" s="4">
        <f>ROUNDUP(B7/$G$7,0)</f>
        <v>1</v>
      </c>
      <c r="F31" s="16" t="s">
        <v>13</v>
      </c>
      <c r="G31" s="4">
        <f>ROUNDUP(B6/$G$2,0)</f>
        <v>13</v>
      </c>
    </row>
  </sheetData>
  <conditionalFormatting sqref="C2:C8">
    <cfRule type="containsText" dxfId="86" priority="2" operator="containsText" text="Suffisant">
      <formula>NOT(ISERROR(SEARCH("Suffisant",C2)))</formula>
    </cfRule>
  </conditionalFormatting>
  <conditionalFormatting sqref="C2:C8">
    <cfRule type="containsText" dxfId="85" priority="1" operator="containsText" text="Manque">
      <formula>NOT(ISERROR(SEARCH("Manque",C2)))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uil1.VerifierConditions">
                <anchor moveWithCells="1" sizeWithCells="1">
                  <from>
                    <xdr:col>2</xdr:col>
                    <xdr:colOff>561975</xdr:colOff>
                    <xdr:row>8</xdr:row>
                    <xdr:rowOff>114300</xdr:rowOff>
                  </from>
                  <to>
                    <xdr:col>3</xdr:col>
                    <xdr:colOff>1057275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euil1.RegulateurConditions">
                <anchor moveWithCells="1" sizeWithCells="1">
                  <from>
                    <xdr:col>3</xdr:col>
                    <xdr:colOff>1428750</xdr:colOff>
                    <xdr:row>8</xdr:row>
                    <xdr:rowOff>142875</xdr:rowOff>
                  </from>
                  <to>
                    <xdr:col>4</xdr:col>
                    <xdr:colOff>1381125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7F403-011E-4E3B-91D0-2910EDABDA0B}">
  <sheetPr codeName="Feuil3"/>
  <dimension ref="A1:Q114"/>
  <sheetViews>
    <sheetView topLeftCell="C1" zoomScale="70" zoomScaleNormal="70" workbookViewId="0">
      <selection activeCell="J53" sqref="J53"/>
    </sheetView>
  </sheetViews>
  <sheetFormatPr defaultColWidth="9.140625" defaultRowHeight="15"/>
  <cols>
    <col min="1" max="1" width="25" customWidth="1"/>
    <col min="2" max="2" width="19" customWidth="1"/>
    <col min="3" max="3" width="32.7109375" customWidth="1"/>
    <col min="4" max="4" width="20.5703125" customWidth="1"/>
    <col min="5" max="5" width="24" customWidth="1"/>
    <col min="6" max="6" width="24.85546875" customWidth="1"/>
    <col min="7" max="7" width="28.7109375" customWidth="1"/>
    <col min="8" max="8" width="30.7109375" customWidth="1"/>
    <col min="9" max="9" width="29.140625" bestFit="1" customWidth="1"/>
    <col min="10" max="10" width="20.28515625" customWidth="1"/>
    <col min="11" max="11" width="29" customWidth="1"/>
    <col min="12" max="12" width="25" customWidth="1"/>
    <col min="13" max="13" width="33" customWidth="1"/>
    <col min="14" max="14" width="29.85546875" bestFit="1" customWidth="1"/>
    <col min="15" max="15" width="30" customWidth="1"/>
    <col min="16" max="16" width="30.7109375" customWidth="1"/>
    <col min="17" max="17" width="25.85546875" customWidth="1"/>
    <col min="18" max="18" width="33.28515625" customWidth="1"/>
    <col min="19" max="19" width="13.140625" customWidth="1"/>
    <col min="20" max="20" width="22.85546875" customWidth="1"/>
    <col min="21" max="21" width="22" customWidth="1"/>
    <col min="22" max="22" width="20.5703125" customWidth="1"/>
    <col min="23" max="23" width="35" customWidth="1"/>
    <col min="24" max="24" width="12.7109375" customWidth="1"/>
    <col min="26" max="26" width="33.85546875" customWidth="1"/>
    <col min="27" max="27" width="23" customWidth="1"/>
    <col min="28" max="28" width="35.5703125" customWidth="1"/>
  </cols>
  <sheetData>
    <row r="1" spans="1:11">
      <c r="A1" s="132" t="s">
        <v>22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>
      <c r="A2" s="14" t="s">
        <v>23</v>
      </c>
      <c r="B2" s="14" t="s">
        <v>24</v>
      </c>
      <c r="C2" s="14" t="s">
        <v>25</v>
      </c>
      <c r="D2" s="14" t="s">
        <v>26</v>
      </c>
      <c r="F2" s="14" t="s">
        <v>27</v>
      </c>
      <c r="G2" s="14" t="s">
        <v>28</v>
      </c>
      <c r="H2" s="14" t="s">
        <v>29</v>
      </c>
      <c r="I2" s="14" t="s">
        <v>30</v>
      </c>
      <c r="J2" s="14" t="s">
        <v>31</v>
      </c>
      <c r="K2" s="14" t="s">
        <v>32</v>
      </c>
    </row>
    <row r="3" spans="1:11">
      <c r="A3" s="58" t="s">
        <v>33</v>
      </c>
      <c r="B3" s="59">
        <v>1800</v>
      </c>
      <c r="C3" s="59">
        <f>RessourcesHumaines!B2</f>
        <v>13</v>
      </c>
      <c r="D3" s="59">
        <f>$B$3*$C$3</f>
        <v>23400</v>
      </c>
      <c r="F3" t="s">
        <v>34</v>
      </c>
      <c r="G3">
        <v>4000</v>
      </c>
      <c r="H3">
        <f>10+Décision!C29</f>
        <v>10</v>
      </c>
      <c r="I3">
        <v>2</v>
      </c>
      <c r="J3">
        <f>H3*I3</f>
        <v>20</v>
      </c>
      <c r="K3">
        <f>G3*H3</f>
        <v>40000</v>
      </c>
    </row>
    <row r="4" spans="1:11">
      <c r="A4" s="14" t="s">
        <v>35</v>
      </c>
      <c r="B4" s="56">
        <v>1500</v>
      </c>
      <c r="C4" s="56">
        <f>RessourcesHumaines!B7</f>
        <v>1</v>
      </c>
      <c r="D4" s="56">
        <f>$B$4*$C$4</f>
        <v>1500</v>
      </c>
      <c r="F4" t="s">
        <v>36</v>
      </c>
      <c r="G4">
        <v>3000</v>
      </c>
      <c r="H4">
        <f>4+Calcul!F29</f>
        <v>4</v>
      </c>
      <c r="I4">
        <v>1</v>
      </c>
      <c r="J4">
        <f>H4*I4</f>
        <v>4</v>
      </c>
      <c r="K4">
        <f>G4*H4</f>
        <v>12000</v>
      </c>
    </row>
    <row r="5" spans="1:11">
      <c r="A5" s="58" t="s">
        <v>37</v>
      </c>
      <c r="B5" s="59">
        <v>10000</v>
      </c>
      <c r="C5" s="59">
        <f>RessourcesHumaines!B8</f>
        <v>1</v>
      </c>
      <c r="D5" s="59">
        <f>$B$5*$C$5</f>
        <v>10000</v>
      </c>
      <c r="F5" t="s">
        <v>38</v>
      </c>
      <c r="G5">
        <v>8000</v>
      </c>
      <c r="H5">
        <f>6+Décision!I29</f>
        <v>6</v>
      </c>
      <c r="I5">
        <v>3</v>
      </c>
      <c r="J5">
        <f>H5*I5</f>
        <v>18</v>
      </c>
      <c r="K5">
        <f>G5*H5</f>
        <v>48000</v>
      </c>
    </row>
    <row r="6" spans="1:11">
      <c r="A6" s="14" t="s">
        <v>39</v>
      </c>
      <c r="B6" s="56">
        <v>3200</v>
      </c>
      <c r="C6" s="56">
        <f>RessourcesHumaines!B3</f>
        <v>5</v>
      </c>
      <c r="D6" s="56">
        <f>$B$6*$C$6</f>
        <v>16000</v>
      </c>
      <c r="F6" t="s">
        <v>40</v>
      </c>
      <c r="G6">
        <v>7500</v>
      </c>
      <c r="H6">
        <f>7+Décision!L29</f>
        <v>7</v>
      </c>
      <c r="I6">
        <v>3</v>
      </c>
      <c r="J6">
        <f>H6*I6</f>
        <v>21</v>
      </c>
      <c r="K6">
        <f>G6*H6</f>
        <v>52500</v>
      </c>
    </row>
    <row r="7" spans="1:11">
      <c r="A7" s="58" t="s">
        <v>41</v>
      </c>
      <c r="B7" s="59">
        <v>1000</v>
      </c>
      <c r="C7" s="59">
        <f>RessourcesHumaines!B4</f>
        <v>5</v>
      </c>
      <c r="D7" s="59">
        <f>$B$7*$C$7</f>
        <v>5000</v>
      </c>
      <c r="F7" t="s">
        <v>13</v>
      </c>
      <c r="G7">
        <f>G3+G4+G5+G6</f>
        <v>22500</v>
      </c>
      <c r="H7">
        <f>H3+H4+H5+H6</f>
        <v>27</v>
      </c>
      <c r="I7">
        <f>I3+I4+I5+I6</f>
        <v>9</v>
      </c>
      <c r="J7">
        <f>J3+J4+J5+J6</f>
        <v>63</v>
      </c>
      <c r="K7" s="61">
        <f>K3+K4+K5+K6</f>
        <v>152500</v>
      </c>
    </row>
    <row r="8" spans="1:11">
      <c r="A8" s="14" t="s">
        <v>9</v>
      </c>
      <c r="B8" s="56">
        <v>1500</v>
      </c>
      <c r="C8" s="56">
        <f>RessourcesHumaines!B5</f>
        <v>6</v>
      </c>
      <c r="D8" s="56">
        <f>$B$8*$C$8</f>
        <v>9000</v>
      </c>
    </row>
    <row r="9" spans="1:11">
      <c r="A9" s="58" t="s">
        <v>10</v>
      </c>
      <c r="B9" s="59">
        <v>1500</v>
      </c>
      <c r="C9" s="59">
        <f>RessourcesHumaines!B6</f>
        <v>63</v>
      </c>
      <c r="D9" s="59">
        <f>$B$9*$C$9</f>
        <v>94500</v>
      </c>
    </row>
    <row r="10" spans="1:11">
      <c r="A10" s="14" t="s">
        <v>32</v>
      </c>
      <c r="B10" s="56">
        <f>SUM(B3:B9)</f>
        <v>20500</v>
      </c>
      <c r="C10" s="56">
        <f>SUM(C3:C9)</f>
        <v>94</v>
      </c>
      <c r="D10" s="60">
        <f>SUM(D3:D9)</f>
        <v>159400</v>
      </c>
      <c r="J10" t="s">
        <v>42</v>
      </c>
      <c r="K10" t="s">
        <v>43</v>
      </c>
    </row>
    <row r="11" spans="1:11">
      <c r="J11" t="s">
        <v>34</v>
      </c>
      <c r="K11">
        <v>2</v>
      </c>
    </row>
    <row r="12" spans="1:11">
      <c r="B12" s="57" t="s">
        <v>44</v>
      </c>
      <c r="C12" s="49"/>
      <c r="J12" t="s">
        <v>36</v>
      </c>
      <c r="K12">
        <v>1</v>
      </c>
    </row>
    <row r="13" spans="1:11">
      <c r="B13" s="10" t="s">
        <v>45</v>
      </c>
      <c r="C13" s="79">
        <f>SUM(D3:D9)</f>
        <v>159400</v>
      </c>
      <c r="F13" s="109"/>
      <c r="G13" s="110" t="s">
        <v>46</v>
      </c>
      <c r="H13" s="111"/>
      <c r="J13" t="s">
        <v>38</v>
      </c>
      <c r="K13">
        <v>3</v>
      </c>
    </row>
    <row r="14" spans="1:11">
      <c r="B14" s="10" t="s">
        <v>47</v>
      </c>
      <c r="C14" s="80">
        <f>SUM(K3:K6)</f>
        <v>152500</v>
      </c>
      <c r="F14" s="57" t="s">
        <v>48</v>
      </c>
      <c r="G14" s="62">
        <f>D10+K7</f>
        <v>311900</v>
      </c>
      <c r="H14" s="63"/>
      <c r="J14" t="s">
        <v>40</v>
      </c>
      <c r="K14">
        <v>3</v>
      </c>
    </row>
    <row r="15" spans="1:11">
      <c r="B15" s="10" t="s">
        <v>49</v>
      </c>
      <c r="C15" s="81">
        <f>SUM(J20+J21+J22+J23+J24)</f>
        <v>1075934</v>
      </c>
    </row>
    <row r="16" spans="1:11">
      <c r="K16" s="154"/>
    </row>
    <row r="18" spans="1:10">
      <c r="A18" s="10" t="s">
        <v>50</v>
      </c>
      <c r="B18" s="10" t="s">
        <v>51</v>
      </c>
      <c r="C18" s="10"/>
      <c r="D18" s="10"/>
      <c r="E18" s="10" t="s">
        <v>52</v>
      </c>
      <c r="F18" s="10"/>
      <c r="G18" s="10"/>
      <c r="H18" s="10"/>
      <c r="I18" s="10"/>
      <c r="J18" s="10"/>
    </row>
    <row r="19" spans="1:10">
      <c r="A19" s="14" t="s">
        <v>49</v>
      </c>
      <c r="B19" s="14" t="s">
        <v>53</v>
      </c>
      <c r="C19" s="14" t="s">
        <v>54</v>
      </c>
      <c r="E19" s="14" t="s">
        <v>55</v>
      </c>
      <c r="F19" s="14" t="s">
        <v>56</v>
      </c>
      <c r="H19" t="s">
        <v>57</v>
      </c>
      <c r="I19" t="s">
        <v>58</v>
      </c>
      <c r="J19" t="s">
        <v>13</v>
      </c>
    </row>
    <row r="20" spans="1:10">
      <c r="A20" s="58" t="s">
        <v>59</v>
      </c>
      <c r="B20" s="135">
        <v>172.22</v>
      </c>
      <c r="C20" s="136">
        <v>149.30000000000001</v>
      </c>
      <c r="E20" s="58">
        <f>J50</f>
        <v>2927</v>
      </c>
      <c r="F20" s="58">
        <v>0</v>
      </c>
      <c r="H20">
        <f t="shared" ref="H20:I22" si="0">B20*E20</f>
        <v>504087.94</v>
      </c>
      <c r="I20">
        <f t="shared" si="0"/>
        <v>0</v>
      </c>
      <c r="J20">
        <f>SUM(H20,I20)</f>
        <v>504087.94</v>
      </c>
    </row>
    <row r="21" spans="1:10">
      <c r="A21" s="14" t="s">
        <v>60</v>
      </c>
      <c r="B21" s="137">
        <v>8.09</v>
      </c>
      <c r="C21" s="137">
        <v>7.02</v>
      </c>
      <c r="E21" s="14">
        <f>J51</f>
        <v>35600</v>
      </c>
      <c r="F21" s="14">
        <v>0</v>
      </c>
      <c r="H21">
        <f t="shared" si="0"/>
        <v>288004</v>
      </c>
      <c r="I21">
        <f t="shared" si="0"/>
        <v>0</v>
      </c>
      <c r="J21">
        <f>SUM(H21,I21)</f>
        <v>288004</v>
      </c>
    </row>
    <row r="22" spans="1:10">
      <c r="A22" s="58" t="s">
        <v>61</v>
      </c>
      <c r="B22" s="135">
        <v>16.100000000000001</v>
      </c>
      <c r="C22" s="136">
        <v>13.96</v>
      </c>
      <c r="E22" s="58">
        <f>J52</f>
        <v>3951</v>
      </c>
      <c r="F22" s="58">
        <v>0</v>
      </c>
      <c r="H22">
        <f t="shared" si="0"/>
        <v>63611.100000000006</v>
      </c>
      <c r="I22">
        <f t="shared" si="0"/>
        <v>0</v>
      </c>
      <c r="J22">
        <f>SUM(H22,I22)</f>
        <v>63611.100000000006</v>
      </c>
    </row>
    <row r="23" spans="1:10">
      <c r="A23" s="14" t="s">
        <v>62</v>
      </c>
      <c r="B23" s="138">
        <v>320.19</v>
      </c>
      <c r="C23" s="138">
        <v>277.58999999999997</v>
      </c>
      <c r="E23" s="14">
        <f>J53</f>
        <v>184</v>
      </c>
      <c r="F23" s="14">
        <v>0</v>
      </c>
      <c r="H23">
        <f t="shared" ref="H23:H24" si="1">B23*E23</f>
        <v>58914.96</v>
      </c>
      <c r="I23">
        <f t="shared" ref="I23:I24" si="2">C23*F23</f>
        <v>0</v>
      </c>
      <c r="J23">
        <f t="shared" ref="J23:J24" si="3">SUM(H23,I23)</f>
        <v>58914.96</v>
      </c>
    </row>
    <row r="24" spans="1:10">
      <c r="A24" s="58" t="s">
        <v>63</v>
      </c>
      <c r="B24" s="139">
        <v>134.43</v>
      </c>
      <c r="C24" s="139">
        <v>116.54</v>
      </c>
      <c r="E24" s="58">
        <f>J54</f>
        <v>1200</v>
      </c>
      <c r="F24" s="58">
        <v>0</v>
      </c>
      <c r="H24">
        <f t="shared" si="1"/>
        <v>161316</v>
      </c>
      <c r="I24">
        <f t="shared" si="2"/>
        <v>0</v>
      </c>
      <c r="J24">
        <f t="shared" si="3"/>
        <v>161316</v>
      </c>
    </row>
    <row r="27" spans="1:10">
      <c r="A27" s="10" t="s">
        <v>64</v>
      </c>
      <c r="B27" s="10"/>
      <c r="C27" s="10"/>
      <c r="D27" s="10"/>
      <c r="E27" s="10"/>
      <c r="F27" s="10"/>
      <c r="G27" s="10"/>
      <c r="H27" s="10" t="s">
        <v>65</v>
      </c>
      <c r="I27" s="10"/>
      <c r="J27" s="10"/>
    </row>
    <row r="28" spans="1:10">
      <c r="A28" s="75" t="s">
        <v>66</v>
      </c>
      <c r="B28" s="76">
        <f>K50/(Calcul!B96*H3) + K51/(Calcul!B95*H3) + K52/(Calcul!B97*H3)</f>
        <v>0.67239555555555564</v>
      </c>
      <c r="D28" t="s">
        <v>67</v>
      </c>
      <c r="E28" t="s">
        <v>68</v>
      </c>
      <c r="F28" t="s">
        <v>69</v>
      </c>
    </row>
    <row r="29" spans="1:10">
      <c r="A29" s="73" t="s">
        <v>36</v>
      </c>
      <c r="B29" s="74">
        <f>(Calcul!F109*Calcul!B56)/(Calcul!C100*H4)+(Calcul!F108*Calcul!B54)/(Calcul!C98*H4)+(Calcul!F112*Calcul!B60)/(Calcul!C99*H4)</f>
        <v>0.65769116333333333</v>
      </c>
      <c r="D29" s="77" t="s">
        <v>70</v>
      </c>
      <c r="E29">
        <f>E21*Calcul!B83</f>
        <v>22072</v>
      </c>
      <c r="F29">
        <f>F21*Calcul!B83</f>
        <v>0</v>
      </c>
      <c r="I29" s="25" t="s">
        <v>71</v>
      </c>
      <c r="J29" s="40">
        <f>SUM(C13+C14+C15)</f>
        <v>1387834</v>
      </c>
    </row>
    <row r="30" spans="1:10">
      <c r="A30" s="75" t="s">
        <v>38</v>
      </c>
      <c r="B30" s="76">
        <f>(Calcul!F107*B52)/(Calcul!D101*H5)+(Calcul!F108*B54)/(Calcul!D98*H5)+(Calcul!F109*B56)/(Calcul!D100*H5)+(Calcul!F112*B60)/(Calcul!D99*H5)</f>
        <v>0.95903741141975307</v>
      </c>
      <c r="D30" s="77" t="s">
        <v>72</v>
      </c>
      <c r="E30">
        <f>E22*Calcul!C87</f>
        <v>1659.4199999999998</v>
      </c>
      <c r="F30">
        <f>F22*Calcul!C87</f>
        <v>0</v>
      </c>
      <c r="G30" s="114"/>
      <c r="I30" s="26" t="s">
        <v>73</v>
      </c>
      <c r="J30" s="27">
        <f>Calcul!$F$64</f>
        <v>5044504.9000000004</v>
      </c>
    </row>
    <row r="31" spans="1:10">
      <c r="A31" s="73" t="s">
        <v>40</v>
      </c>
      <c r="B31" s="74">
        <f>(Calcul!D106*Calcul!B50 + Calcul!D107*Calcul!B52 + Calcul!D108*Calcul!B54 + Calcul!D109*Calcul!B56 + Calcul!D112*Calcul!B60) / (Calcul!E99*Calcul!H6)</f>
        <v>0.97121270714285723</v>
      </c>
      <c r="D31" s="77" t="s">
        <v>74</v>
      </c>
      <c r="E31">
        <f>E20*Calcul!D85</f>
        <v>181474</v>
      </c>
      <c r="F31">
        <f>F20*Calcul!D85</f>
        <v>0</v>
      </c>
      <c r="I31" s="28" t="s">
        <v>75</v>
      </c>
      <c r="J31" s="39">
        <f>J30-J29</f>
        <v>3656670.9000000004</v>
      </c>
    </row>
    <row r="32" spans="1:10">
      <c r="D32" s="77" t="s">
        <v>76</v>
      </c>
      <c r="E32">
        <f>E21*Calcul!B86</f>
        <v>22784</v>
      </c>
      <c r="F32">
        <f>F21*Calcul!B86</f>
        <v>0</v>
      </c>
    </row>
    <row r="33" spans="1:11">
      <c r="D33" s="77" t="s">
        <v>77</v>
      </c>
      <c r="E33">
        <f>E22*Calcul!C87</f>
        <v>1659.4199999999998</v>
      </c>
      <c r="F33">
        <f>F22*Calcul!C87</f>
        <v>0</v>
      </c>
    </row>
    <row r="34" spans="1:11">
      <c r="D34" s="155" t="s">
        <v>78</v>
      </c>
      <c r="E34">
        <f>E20*Calcul!D88</f>
        <v>43905</v>
      </c>
      <c r="F34">
        <f>F20*Calcul!D88</f>
        <v>0</v>
      </c>
    </row>
    <row r="35" spans="1:11">
      <c r="D35" s="78" t="s">
        <v>79</v>
      </c>
      <c r="E35">
        <f>E24*Calcul!E90</f>
        <v>72000</v>
      </c>
      <c r="F35">
        <f>F24*Calcul!E90</f>
        <v>0</v>
      </c>
    </row>
    <row r="36" spans="1:11">
      <c r="D36" s="78" t="s">
        <v>80</v>
      </c>
      <c r="E36">
        <f>E23*Calcul!F91</f>
        <v>9200</v>
      </c>
      <c r="F36">
        <f>F23*Calcul!F91</f>
        <v>0</v>
      </c>
    </row>
    <row r="38" spans="1:11">
      <c r="A38" s="157" t="s">
        <v>81</v>
      </c>
      <c r="B38" s="157"/>
      <c r="C38" s="64" t="s">
        <v>82</v>
      </c>
      <c r="D38" s="64" t="s">
        <v>83</v>
      </c>
      <c r="E38" s="64" t="s">
        <v>84</v>
      </c>
      <c r="H38" s="63" t="s">
        <v>85</v>
      </c>
      <c r="I38" s="63"/>
      <c r="J38" s="57" t="s">
        <v>52</v>
      </c>
    </row>
    <row r="39" spans="1:11">
      <c r="B39" s="10" t="s">
        <v>86</v>
      </c>
      <c r="C39" s="150">
        <f>D50</f>
        <v>22784</v>
      </c>
      <c r="D39" s="24">
        <f>J51*B86</f>
        <v>22784</v>
      </c>
      <c r="E39" s="1">
        <f>D39-C39</f>
        <v>0</v>
      </c>
      <c r="I39" s="10" t="s">
        <v>87</v>
      </c>
      <c r="J39" s="70">
        <f>ROUNDUP(MAX(G52+G54+G56+G60),0)</f>
        <v>59</v>
      </c>
    </row>
    <row r="40" spans="1:11">
      <c r="B40" s="10" t="s">
        <v>88</v>
      </c>
      <c r="C40" s="151">
        <f>D52</f>
        <v>43800</v>
      </c>
      <c r="D40" s="66">
        <f>J50*D88</f>
        <v>43905</v>
      </c>
      <c r="E40" s="1">
        <f>D40-C40</f>
        <v>105</v>
      </c>
      <c r="I40" s="10" t="s">
        <v>89</v>
      </c>
      <c r="J40" s="71">
        <f>ROUNDUP(MAX(G50+G58),0)</f>
        <v>19609</v>
      </c>
    </row>
    <row r="41" spans="1:11">
      <c r="B41" s="10" t="s">
        <v>90</v>
      </c>
      <c r="C41" s="152">
        <f>D61</f>
        <v>120.036</v>
      </c>
      <c r="D41" s="45">
        <f>J52*C87</f>
        <v>1659.4199999999998</v>
      </c>
      <c r="E41" s="1">
        <f>D41-C41</f>
        <v>1539.3839999999998</v>
      </c>
      <c r="I41" s="10" t="s">
        <v>91</v>
      </c>
      <c r="J41" s="58">
        <f>ROUNDUP(MAX(G57+G62+G61),0)</f>
        <v>7601</v>
      </c>
    </row>
    <row r="42" spans="1:11">
      <c r="B42" s="10" t="s">
        <v>92</v>
      </c>
      <c r="C42" s="151">
        <f>D57</f>
        <v>9000</v>
      </c>
      <c r="D42" s="66">
        <f>J51*B83</f>
        <v>22072</v>
      </c>
      <c r="E42" s="1">
        <f>D42-C42</f>
        <v>13072</v>
      </c>
      <c r="I42" s="10" t="s">
        <v>93</v>
      </c>
      <c r="J42">
        <f>ROUNDUP(MAX(G51+G53+G63),0)</f>
        <v>185</v>
      </c>
    </row>
    <row r="43" spans="1:11">
      <c r="B43" s="10" t="s">
        <v>94</v>
      </c>
      <c r="C43" s="152">
        <f>D58+D62</f>
        <v>6400.12</v>
      </c>
      <c r="D43" s="45">
        <f>J52*C84</f>
        <v>6400.6200000000008</v>
      </c>
      <c r="E43" s="1">
        <f>D43-C43</f>
        <v>0.50000000000090949</v>
      </c>
      <c r="I43" s="10" t="s">
        <v>95</v>
      </c>
      <c r="J43" s="58">
        <f>ROUNDUP(MAX(G55+G59),0)</f>
        <v>1200</v>
      </c>
    </row>
    <row r="44" spans="1:11">
      <c r="B44" s="10" t="s">
        <v>96</v>
      </c>
      <c r="C44" s="153">
        <f>D60+D56+D54</f>
        <v>181457.09399999998</v>
      </c>
      <c r="D44" s="68">
        <f>J50*D85</f>
        <v>181474</v>
      </c>
      <c r="E44" s="1">
        <f>D44-C44</f>
        <v>16.906000000017229</v>
      </c>
    </row>
    <row r="47" spans="1:11">
      <c r="A47" s="132" t="s">
        <v>97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</row>
    <row r="49" spans="1:11">
      <c r="A49" t="s">
        <v>98</v>
      </c>
      <c r="B49" s="19" t="s">
        <v>99</v>
      </c>
      <c r="C49" s="17" t="s">
        <v>100</v>
      </c>
      <c r="D49" s="23" t="s">
        <v>101</v>
      </c>
      <c r="E49" s="19" t="s">
        <v>102</v>
      </c>
      <c r="F49" s="35" t="s">
        <v>103</v>
      </c>
      <c r="G49" s="36" t="s">
        <v>104</v>
      </c>
      <c r="J49" s="88" t="s">
        <v>105</v>
      </c>
      <c r="K49" s="88" t="s">
        <v>106</v>
      </c>
    </row>
    <row r="50" spans="1:11">
      <c r="A50" s="89" t="s">
        <v>107</v>
      </c>
      <c r="B50" s="65">
        <f>Décision!C4</f>
        <v>44500</v>
      </c>
      <c r="C50" s="18" t="s">
        <v>108</v>
      </c>
      <c r="D50" s="82">
        <f>$B$50*Calcul!K86</f>
        <v>22784</v>
      </c>
      <c r="E50" s="50">
        <v>5.3</v>
      </c>
      <c r="F50" s="52">
        <f>E50*B50</f>
        <v>235850</v>
      </c>
      <c r="G50" s="41">
        <f>(D50/Calcul!B83)/2</f>
        <v>18374.193548387098</v>
      </c>
      <c r="I50" s="94" t="s">
        <v>87</v>
      </c>
      <c r="J50" s="95">
        <f>MAX(ROUNDUP((D54+D56+D60)/Calcul!D85,0),ROUNDUP(D52/Calcul!D88,0))</f>
        <v>2927</v>
      </c>
      <c r="K50" s="67">
        <f>Calcul!J50*Calcul!D92</f>
        <v>292700</v>
      </c>
    </row>
    <row r="51" spans="1:11">
      <c r="A51" s="90"/>
      <c r="B51" s="20"/>
      <c r="C51" t="s">
        <v>80</v>
      </c>
      <c r="D51" s="83">
        <f>$B$50*Calcul!K90</f>
        <v>2848</v>
      </c>
      <c r="E51" s="92"/>
      <c r="F51" s="54"/>
      <c r="G51" s="42">
        <f>ROUNDUP(D51/50,0)</f>
        <v>57</v>
      </c>
      <c r="I51" s="94" t="s">
        <v>89</v>
      </c>
      <c r="J51" s="72">
        <f>MAX(ROUNDUP(D50/Calcul!B86,0),ROUNDUP(D57/Calcul!B83,0))</f>
        <v>35600</v>
      </c>
      <c r="K51" s="22">
        <f>J51*Calcul!B92</f>
        <v>71200</v>
      </c>
    </row>
    <row r="52" spans="1:11">
      <c r="A52" s="89" t="s">
        <v>109</v>
      </c>
      <c r="B52" s="65">
        <f>Décision!F4</f>
        <v>5840</v>
      </c>
      <c r="C52" s="18" t="s">
        <v>110</v>
      </c>
      <c r="D52" s="82">
        <f>$B$52*Calcul!M88</f>
        <v>43800</v>
      </c>
      <c r="E52" s="51">
        <v>109</v>
      </c>
      <c r="F52" s="52">
        <f>E52*B52</f>
        <v>636560</v>
      </c>
      <c r="G52" s="37">
        <f>(D52/Calcul!D88)/100</f>
        <v>29.2</v>
      </c>
      <c r="I52" s="94" t="s">
        <v>91</v>
      </c>
      <c r="J52" s="59">
        <f>MAX(ROUNDUP((D58+D62)/Calcul!C84,0),ROUNDUP(D61/Calcul!C87,0))</f>
        <v>3951</v>
      </c>
      <c r="K52" s="96">
        <f>Calcul!J52*Calcul!C92</f>
        <v>11853</v>
      </c>
    </row>
    <row r="53" spans="1:11">
      <c r="A53" s="90"/>
      <c r="B53" s="20"/>
      <c r="C53" t="s">
        <v>111</v>
      </c>
      <c r="D53" s="84">
        <f>$B$52*Calcul!M90</f>
        <v>712.48</v>
      </c>
      <c r="E53" s="93"/>
      <c r="F53" s="54"/>
      <c r="G53" s="42">
        <f>ROUNDUP(D53/50,0)</f>
        <v>15</v>
      </c>
      <c r="I53" s="94" t="s">
        <v>93</v>
      </c>
      <c r="J53" s="72">
        <f>ROUNDUP((D51+D53+D63)/Calcul!F91,0)</f>
        <v>184</v>
      </c>
      <c r="K53" s="22"/>
    </row>
    <row r="54" spans="1:11">
      <c r="A54" s="89" t="s">
        <v>112</v>
      </c>
      <c r="B54" s="65">
        <f>Décision!H4</f>
        <v>1599541</v>
      </c>
      <c r="C54" s="18" t="s">
        <v>113</v>
      </c>
      <c r="D54" s="85">
        <f>$B$54*Calcul!J85</f>
        <v>150356.85399999999</v>
      </c>
      <c r="E54" s="50">
        <v>2</v>
      </c>
      <c r="F54" s="52">
        <f>E54*B54</f>
        <v>3199082</v>
      </c>
      <c r="G54" s="37">
        <f>(D54/Calcul!D85)/100</f>
        <v>24.251105483870965</v>
      </c>
      <c r="I54" s="94" t="s">
        <v>95</v>
      </c>
      <c r="J54" s="97">
        <f>ROUNDUP((D55+D59)/Calcul!E90,0)</f>
        <v>1200</v>
      </c>
      <c r="K54" s="98"/>
    </row>
    <row r="55" spans="1:11">
      <c r="A55" s="90"/>
      <c r="B55" s="20"/>
      <c r="C55" t="s">
        <v>79</v>
      </c>
      <c r="D55" s="85">
        <f>$B$54*Calcul!J89</f>
        <v>47986.229999999996</v>
      </c>
      <c r="E55" s="92"/>
      <c r="F55" s="54"/>
      <c r="G55" s="44">
        <f>ROUNDUP(D55/60,0)</f>
        <v>800</v>
      </c>
    </row>
    <row r="56" spans="1:11">
      <c r="A56" s="89" t="s">
        <v>114</v>
      </c>
      <c r="B56" s="65">
        <f>Décision!K4</f>
        <v>300000</v>
      </c>
      <c r="C56" s="18" t="s">
        <v>113</v>
      </c>
      <c r="D56" s="82">
        <f>B56*Calcul!I85</f>
        <v>30300.000000000004</v>
      </c>
      <c r="E56" s="50">
        <v>3.1</v>
      </c>
      <c r="F56" s="52">
        <f>E56*B56</f>
        <v>930000</v>
      </c>
      <c r="G56" s="37">
        <f>(D56/Calcul!D85)/100</f>
        <v>4.8870967741935489</v>
      </c>
    </row>
    <row r="57" spans="1:11">
      <c r="A57" s="90"/>
      <c r="B57" s="20"/>
      <c r="C57" t="s">
        <v>115</v>
      </c>
      <c r="D57" s="83">
        <f>B56*Calcul!I83</f>
        <v>9000</v>
      </c>
      <c r="E57" s="91"/>
      <c r="F57" s="53"/>
      <c r="G57" s="43">
        <f>(D57/Calcul!B83)/2</f>
        <v>7258.0645161290322</v>
      </c>
    </row>
    <row r="58" spans="1:11">
      <c r="A58" s="90"/>
      <c r="B58" s="20"/>
      <c r="C58" t="s">
        <v>116</v>
      </c>
      <c r="D58" s="83">
        <f>B56*Calcul!I84</f>
        <v>6000</v>
      </c>
      <c r="E58" s="91"/>
      <c r="F58" s="53"/>
      <c r="G58" s="37">
        <f>ROUNDUP(D58/Calcul!C84,0)/3</f>
        <v>1234.6666666666667</v>
      </c>
    </row>
    <row r="59" spans="1:11">
      <c r="A59" s="90"/>
      <c r="B59" s="20"/>
      <c r="C59" t="s">
        <v>79</v>
      </c>
      <c r="D59" s="86">
        <f>B56*Calcul!I89</f>
        <v>24000</v>
      </c>
      <c r="E59" s="92"/>
      <c r="F59" s="54"/>
      <c r="G59" s="42">
        <f>ROUNDUP(D59/60,0)</f>
        <v>400</v>
      </c>
      <c r="H59" s="6"/>
    </row>
    <row r="60" spans="1:11">
      <c r="A60" s="89" t="s">
        <v>117</v>
      </c>
      <c r="B60" s="65">
        <f>Décision!N4</f>
        <v>10003</v>
      </c>
      <c r="C60" s="21" t="s">
        <v>113</v>
      </c>
      <c r="D60" s="87">
        <f>B60*Calcul!L85</f>
        <v>800.24</v>
      </c>
      <c r="E60" s="50">
        <v>4.3</v>
      </c>
      <c r="F60" s="52">
        <f>E60*B60</f>
        <v>43012.9</v>
      </c>
      <c r="G60" s="37">
        <f>(D60/Calcul!D85)/100</f>
        <v>0.12907096774193549</v>
      </c>
    </row>
    <row r="61" spans="1:11">
      <c r="A61" s="90"/>
      <c r="B61" s="20"/>
      <c r="C61" s="22" t="s">
        <v>118</v>
      </c>
      <c r="D61" s="87">
        <f>B60*Calcul!L87</f>
        <v>120.036</v>
      </c>
      <c r="E61" s="91"/>
      <c r="F61" s="53"/>
      <c r="G61" s="43">
        <f>(D61/Calcul!C87)/3</f>
        <v>95.266666666666666</v>
      </c>
    </row>
    <row r="62" spans="1:11">
      <c r="A62" s="90"/>
      <c r="B62" s="20"/>
      <c r="C62" s="22" t="s">
        <v>116</v>
      </c>
      <c r="D62" s="87">
        <f>B60*Calcul!L84</f>
        <v>400.12</v>
      </c>
      <c r="E62" s="91"/>
      <c r="F62" s="53"/>
      <c r="G62" s="37">
        <f>D62/Calcul!C84</f>
        <v>246.98765432098764</v>
      </c>
    </row>
    <row r="63" spans="1:11">
      <c r="A63" s="90"/>
      <c r="B63" s="20"/>
      <c r="C63" s="22" t="s">
        <v>111</v>
      </c>
      <c r="D63" s="87">
        <f>B60*Calcul!L90</f>
        <v>5601.68</v>
      </c>
      <c r="E63" s="92"/>
      <c r="F63" s="54"/>
      <c r="G63" s="42">
        <f>ROUNDUP(D63/50,0)</f>
        <v>113</v>
      </c>
    </row>
    <row r="64" spans="1:11">
      <c r="A64" s="146" t="s">
        <v>32</v>
      </c>
      <c r="B64" s="147">
        <f>SUM(B50+B52+B54+B56+B60)</f>
        <v>1959884</v>
      </c>
      <c r="C64" s="148"/>
      <c r="D64" s="148"/>
      <c r="E64" s="148"/>
      <c r="F64" s="149">
        <f>SUM(F50+F52+F54+F56+F60)</f>
        <v>5044504.9000000004</v>
      </c>
    </row>
    <row r="67" spans="1:17">
      <c r="B67" s="6"/>
      <c r="C67" s="6"/>
      <c r="D67" s="6"/>
      <c r="E67" s="6"/>
      <c r="F67" s="6"/>
      <c r="G67" s="6"/>
      <c r="H67" s="6"/>
      <c r="I67" s="6"/>
      <c r="J67" s="6"/>
      <c r="K67" s="6"/>
    </row>
    <row r="72" spans="1:17">
      <c r="A72" s="142" t="s">
        <v>119</v>
      </c>
      <c r="B72" s="141"/>
      <c r="C72" s="141"/>
      <c r="D72" s="145" t="s">
        <v>32</v>
      </c>
      <c r="E72" s="145" t="s">
        <v>120</v>
      </c>
      <c r="G72" s="142" t="s">
        <v>121</v>
      </c>
      <c r="H72" s="142"/>
      <c r="I72" s="142"/>
      <c r="J72" s="145" t="s">
        <v>32</v>
      </c>
      <c r="K72" s="145" t="s">
        <v>120</v>
      </c>
      <c r="M72" s="142" t="s">
        <v>122</v>
      </c>
      <c r="N72" s="142"/>
      <c r="O72" s="142"/>
      <c r="P72" s="145" t="s">
        <v>32</v>
      </c>
      <c r="Q72" s="145" t="s">
        <v>123</v>
      </c>
    </row>
    <row r="73" spans="1:17">
      <c r="A73" t="s">
        <v>124</v>
      </c>
      <c r="B73" s="145" t="s">
        <v>125</v>
      </c>
      <c r="C73" s="145" t="s">
        <v>126</v>
      </c>
      <c r="G73" s="145" t="s">
        <v>127</v>
      </c>
      <c r="H73" s="145" t="s">
        <v>128</v>
      </c>
      <c r="I73" s="145" t="s">
        <v>126</v>
      </c>
      <c r="O73" s="145" t="s">
        <v>129</v>
      </c>
    </row>
    <row r="74" spans="1:17">
      <c r="A74" s="69">
        <v>15</v>
      </c>
      <c r="B74" s="69">
        <v>62</v>
      </c>
      <c r="C74" s="69">
        <v>23</v>
      </c>
      <c r="D74" s="143">
        <v>100</v>
      </c>
      <c r="E74" s="144">
        <v>5</v>
      </c>
      <c r="G74" s="145"/>
      <c r="J74" s="57">
        <v>2</v>
      </c>
      <c r="K74" s="144">
        <v>1</v>
      </c>
      <c r="O74" s="69">
        <v>60</v>
      </c>
      <c r="P74" s="143">
        <v>60</v>
      </c>
      <c r="Q74" s="144">
        <v>3.5</v>
      </c>
    </row>
    <row r="77" spans="1:17">
      <c r="A77" s="142" t="s">
        <v>91</v>
      </c>
      <c r="B77" s="142"/>
      <c r="C77" s="142"/>
      <c r="D77" s="145" t="s">
        <v>32</v>
      </c>
      <c r="E77" s="145" t="s">
        <v>120</v>
      </c>
      <c r="G77" s="142" t="s">
        <v>130</v>
      </c>
      <c r="H77" s="142"/>
      <c r="I77" s="142"/>
      <c r="J77" s="145" t="s">
        <v>32</v>
      </c>
      <c r="K77" s="145" t="s">
        <v>120</v>
      </c>
    </row>
    <row r="78" spans="1:17">
      <c r="A78" t="s">
        <v>77</v>
      </c>
      <c r="B78" s="145" t="s">
        <v>116</v>
      </c>
      <c r="C78" s="145" t="s">
        <v>131</v>
      </c>
      <c r="I78" s="145" t="s">
        <v>129</v>
      </c>
    </row>
    <row r="79" spans="1:17">
      <c r="A79" s="58">
        <v>0.42</v>
      </c>
      <c r="B79" s="58">
        <v>1.62</v>
      </c>
      <c r="C79" s="58">
        <v>0.96</v>
      </c>
      <c r="D79" s="143">
        <v>3</v>
      </c>
      <c r="E79" s="144">
        <v>1</v>
      </c>
      <c r="I79" s="58">
        <v>50</v>
      </c>
      <c r="J79" s="57">
        <v>50</v>
      </c>
      <c r="K79" s="144">
        <v>3</v>
      </c>
    </row>
    <row r="82" spans="1:13">
      <c r="A82" s="10" t="s">
        <v>132</v>
      </c>
      <c r="B82" s="10" t="s">
        <v>133</v>
      </c>
      <c r="C82" s="10" t="s">
        <v>134</v>
      </c>
      <c r="D82" s="10" t="s">
        <v>135</v>
      </c>
      <c r="E82" s="8" t="s">
        <v>79</v>
      </c>
      <c r="F82" s="10" t="s">
        <v>80</v>
      </c>
      <c r="H82" s="8" t="s">
        <v>136</v>
      </c>
      <c r="I82" s="10" t="s">
        <v>137</v>
      </c>
      <c r="J82" s="10" t="s">
        <v>138</v>
      </c>
      <c r="K82" s="10" t="s">
        <v>139</v>
      </c>
      <c r="L82" s="10" t="s">
        <v>140</v>
      </c>
      <c r="M82" s="10" t="s">
        <v>141</v>
      </c>
    </row>
    <row r="83" spans="1:13">
      <c r="A83" s="10" t="s">
        <v>70</v>
      </c>
      <c r="B83">
        <v>0.62</v>
      </c>
      <c r="E83" s="5"/>
      <c r="H83" s="8" t="s">
        <v>70</v>
      </c>
      <c r="I83" s="11">
        <v>0.03</v>
      </c>
    </row>
    <row r="84" spans="1:13">
      <c r="A84" s="10" t="s">
        <v>72</v>
      </c>
      <c r="C84">
        <v>1.62</v>
      </c>
      <c r="E84" s="5"/>
      <c r="H84" s="8" t="s">
        <v>72</v>
      </c>
      <c r="I84" s="11">
        <v>0.02</v>
      </c>
      <c r="L84" s="11">
        <v>0.04</v>
      </c>
    </row>
    <row r="85" spans="1:13">
      <c r="A85" s="10" t="s">
        <v>74</v>
      </c>
      <c r="D85" s="1">
        <v>62</v>
      </c>
      <c r="E85" s="5"/>
      <c r="H85" s="8" t="s">
        <v>74</v>
      </c>
      <c r="I85">
        <v>0.10100000000000001</v>
      </c>
      <c r="J85">
        <v>9.4E-2</v>
      </c>
      <c r="L85" s="11">
        <v>0.08</v>
      </c>
    </row>
    <row r="86" spans="1:13">
      <c r="A86" s="10" t="s">
        <v>108</v>
      </c>
      <c r="B86">
        <v>0.64</v>
      </c>
      <c r="D86" s="1"/>
      <c r="E86" s="5"/>
      <c r="H86" s="8" t="s">
        <v>76</v>
      </c>
      <c r="K86">
        <v>0.51200000000000001</v>
      </c>
    </row>
    <row r="87" spans="1:13">
      <c r="A87" s="10" t="s">
        <v>77</v>
      </c>
      <c r="C87">
        <v>0.42</v>
      </c>
      <c r="D87" s="1"/>
      <c r="E87" s="5"/>
      <c r="H87" s="8" t="s">
        <v>77</v>
      </c>
      <c r="L87">
        <v>1.2E-2</v>
      </c>
    </row>
    <row r="88" spans="1:13">
      <c r="A88" s="10" t="s">
        <v>78</v>
      </c>
      <c r="D88" s="1">
        <v>15</v>
      </c>
      <c r="E88" s="5"/>
      <c r="H88" s="10" t="s">
        <v>78</v>
      </c>
      <c r="M88">
        <v>7.5</v>
      </c>
    </row>
    <row r="89" spans="1:13">
      <c r="A89" s="8" t="s">
        <v>142</v>
      </c>
      <c r="B89" s="5">
        <v>0.74</v>
      </c>
      <c r="C89" s="5">
        <v>0.96</v>
      </c>
      <c r="D89" s="9">
        <v>23</v>
      </c>
      <c r="E89" s="5"/>
      <c r="H89" s="10" t="s">
        <v>79</v>
      </c>
      <c r="I89" s="11">
        <v>0.08</v>
      </c>
      <c r="J89" s="11">
        <v>0.03</v>
      </c>
    </row>
    <row r="90" spans="1:13">
      <c r="A90" s="10" t="s">
        <v>79</v>
      </c>
      <c r="D90" s="1"/>
      <c r="E90" s="5">
        <v>60</v>
      </c>
      <c r="H90" s="10" t="s">
        <v>80</v>
      </c>
      <c r="K90">
        <v>6.4000000000000001E-2</v>
      </c>
      <c r="L90" s="11">
        <v>0.56000000000000005</v>
      </c>
      <c r="M90">
        <v>0.122</v>
      </c>
    </row>
    <row r="91" spans="1:13" ht="15.75" thickBot="1">
      <c r="A91" s="10" t="s">
        <v>80</v>
      </c>
      <c r="D91" s="1"/>
      <c r="E91" s="5"/>
      <c r="F91">
        <v>50</v>
      </c>
      <c r="H91" s="14"/>
    </row>
    <row r="92" spans="1:13" ht="15.75" thickBot="1">
      <c r="A92" s="30" t="s">
        <v>32</v>
      </c>
      <c r="B92" s="31">
        <f>SUM(B83+B86+B89)</f>
        <v>2</v>
      </c>
      <c r="C92" s="31">
        <f>SUM(C84+C87+C89)</f>
        <v>3</v>
      </c>
      <c r="D92" s="32">
        <f>SUM(D85+D88+D89)</f>
        <v>100</v>
      </c>
      <c r="E92" s="33">
        <f>E90</f>
        <v>60</v>
      </c>
      <c r="F92" s="34">
        <f>F91</f>
        <v>50</v>
      </c>
    </row>
    <row r="94" spans="1:13">
      <c r="A94" s="12" t="s">
        <v>143</v>
      </c>
      <c r="B94" s="12" t="s">
        <v>144</v>
      </c>
      <c r="C94" s="12" t="s">
        <v>145</v>
      </c>
      <c r="D94" s="10" t="s">
        <v>146</v>
      </c>
      <c r="E94" s="10" t="s">
        <v>147</v>
      </c>
      <c r="G94" t="s">
        <v>148</v>
      </c>
      <c r="H94" t="s">
        <v>34</v>
      </c>
      <c r="I94" t="s">
        <v>36</v>
      </c>
      <c r="J94" t="s">
        <v>38</v>
      </c>
      <c r="K94" t="s">
        <v>40</v>
      </c>
    </row>
    <row r="95" spans="1:13">
      <c r="A95" s="12" t="s">
        <v>133</v>
      </c>
      <c r="B95" s="7">
        <v>45000</v>
      </c>
      <c r="C95" s="7"/>
      <c r="G95" t="s">
        <v>149</v>
      </c>
      <c r="H95" s="29">
        <v>275000</v>
      </c>
      <c r="I95" s="29">
        <v>295000</v>
      </c>
      <c r="J95" s="29">
        <v>335000</v>
      </c>
      <c r="K95" s="29">
        <v>505000</v>
      </c>
    </row>
    <row r="96" spans="1:13">
      <c r="A96" s="12" t="s">
        <v>135</v>
      </c>
      <c r="B96" s="7">
        <v>60000</v>
      </c>
      <c r="C96" s="7"/>
    </row>
    <row r="97" spans="1:8">
      <c r="A97" s="12" t="s">
        <v>134</v>
      </c>
      <c r="B97" s="7">
        <v>45000</v>
      </c>
      <c r="C97" s="7"/>
      <c r="H97" s="140"/>
    </row>
    <row r="98" spans="1:8">
      <c r="A98" s="12" t="s">
        <v>150</v>
      </c>
      <c r="B98" s="7"/>
      <c r="C98" s="7">
        <v>75000</v>
      </c>
      <c r="D98">
        <v>54000</v>
      </c>
      <c r="E98">
        <v>40000</v>
      </c>
    </row>
    <row r="99" spans="1:8">
      <c r="A99" s="12" t="s">
        <v>140</v>
      </c>
      <c r="B99" s="7"/>
      <c r="C99" s="7">
        <v>75000</v>
      </c>
      <c r="D99">
        <v>100000</v>
      </c>
      <c r="E99">
        <v>40000</v>
      </c>
    </row>
    <row r="100" spans="1:8">
      <c r="A100" s="12" t="s">
        <v>137</v>
      </c>
      <c r="B100" s="7"/>
      <c r="C100" s="7">
        <v>75000</v>
      </c>
      <c r="D100">
        <v>45000</v>
      </c>
      <c r="E100">
        <v>40000</v>
      </c>
    </row>
    <row r="101" spans="1:8">
      <c r="A101" s="12" t="s">
        <v>141</v>
      </c>
      <c r="B101" s="7"/>
      <c r="C101" s="7"/>
      <c r="D101">
        <v>22500</v>
      </c>
      <c r="E101">
        <v>40000</v>
      </c>
    </row>
    <row r="102" spans="1:8">
      <c r="A102" s="10" t="s">
        <v>151</v>
      </c>
      <c r="E102">
        <v>40000</v>
      </c>
      <c r="F102" s="5"/>
    </row>
    <row r="103" spans="1:8">
      <c r="F103" s="5"/>
    </row>
    <row r="104" spans="1:8">
      <c r="F104" s="5"/>
    </row>
    <row r="105" spans="1:8">
      <c r="A105" t="s">
        <v>152</v>
      </c>
      <c r="B105" t="s">
        <v>153</v>
      </c>
      <c r="C105" t="s">
        <v>154</v>
      </c>
      <c r="D105" t="s">
        <v>155</v>
      </c>
      <c r="E105" t="s">
        <v>156</v>
      </c>
      <c r="F105" s="48" t="s">
        <v>157</v>
      </c>
    </row>
    <row r="106" spans="1:8">
      <c r="A106" s="6" t="s">
        <v>158</v>
      </c>
      <c r="B106" t="s">
        <v>159</v>
      </c>
      <c r="C106">
        <v>0.51200000000000001</v>
      </c>
      <c r="D106" s="6">
        <v>0.51200000000000001</v>
      </c>
      <c r="E106">
        <v>1</v>
      </c>
      <c r="F106" s="6">
        <v>0.51200000000000001</v>
      </c>
    </row>
    <row r="107" spans="1:8">
      <c r="A107" s="6" t="s">
        <v>109</v>
      </c>
      <c r="B107" t="s">
        <v>110</v>
      </c>
      <c r="C107">
        <v>7.5</v>
      </c>
      <c r="D107" s="6">
        <v>7.5</v>
      </c>
      <c r="E107">
        <v>1</v>
      </c>
      <c r="F107" s="6">
        <v>7.5</v>
      </c>
    </row>
    <row r="108" spans="1:8">
      <c r="A108" s="6" t="s">
        <v>160</v>
      </c>
      <c r="B108" t="s">
        <v>113</v>
      </c>
      <c r="C108">
        <v>9.4E-2</v>
      </c>
      <c r="D108" s="6">
        <v>9.8000000000000004E-2</v>
      </c>
      <c r="E108">
        <v>1</v>
      </c>
      <c r="F108" s="6">
        <v>9.4E-2</v>
      </c>
    </row>
    <row r="109" spans="1:8">
      <c r="A109" s="124" t="s">
        <v>161</v>
      </c>
      <c r="B109" s="125" t="s">
        <v>115</v>
      </c>
      <c r="C109" s="125">
        <v>0.10100000000000001</v>
      </c>
      <c r="D109" s="124">
        <v>0.156</v>
      </c>
      <c r="E109" s="126">
        <f>C109/SUM($C$109:$C$111)</f>
        <v>0.66887417218543055</v>
      </c>
      <c r="F109" s="124">
        <f>SUM(C109:C111)</f>
        <v>0.151</v>
      </c>
    </row>
    <row r="110" spans="1:8">
      <c r="A110" s="124"/>
      <c r="B110" s="125" t="s">
        <v>116</v>
      </c>
      <c r="C110" s="125">
        <v>0.03</v>
      </c>
      <c r="D110" s="124"/>
      <c r="E110" s="126">
        <f>C110/SUM($C$109:$C$111)</f>
        <v>0.19867549668874171</v>
      </c>
      <c r="F110" s="124"/>
    </row>
    <row r="111" spans="1:8">
      <c r="A111" s="124"/>
      <c r="B111" s="125" t="s">
        <v>113</v>
      </c>
      <c r="C111" s="125">
        <v>0.02</v>
      </c>
      <c r="D111" s="124"/>
      <c r="E111" s="126">
        <f>C111/SUM($C$109:$C$111)</f>
        <v>0.13245033112582782</v>
      </c>
      <c r="F111" s="124"/>
    </row>
    <row r="112" spans="1:8">
      <c r="A112" s="127" t="s">
        <v>162</v>
      </c>
      <c r="B112" s="128" t="s">
        <v>113</v>
      </c>
      <c r="C112" s="128">
        <v>0.08</v>
      </c>
      <c r="D112" s="127">
        <v>0.18</v>
      </c>
      <c r="E112" s="129">
        <f>C112/SUM($C$112:$C$114)</f>
        <v>0.48484848484848486</v>
      </c>
      <c r="F112" s="130">
        <f>SUM(C112:C114)</f>
        <v>0.16500000000000001</v>
      </c>
    </row>
    <row r="113" spans="1:6">
      <c r="A113" s="127"/>
      <c r="B113" s="128" t="s">
        <v>116</v>
      </c>
      <c r="C113" s="128">
        <v>4.4999999999999998E-2</v>
      </c>
      <c r="D113" s="127"/>
      <c r="E113" s="129">
        <f>C113/SUM($C$112:$C$114)</f>
        <v>0.27272727272727271</v>
      </c>
      <c r="F113" s="130"/>
    </row>
    <row r="114" spans="1:6">
      <c r="A114" s="127"/>
      <c r="B114" s="128" t="s">
        <v>77</v>
      </c>
      <c r="C114" s="128">
        <v>0.04</v>
      </c>
      <c r="D114" s="127"/>
      <c r="E114" s="129">
        <f>C114/SUM($C$112:$C$114)</f>
        <v>0.24242424242424243</v>
      </c>
      <c r="F114" s="130"/>
    </row>
  </sheetData>
  <mergeCells count="1">
    <mergeCell ref="A38:B38"/>
  </mergeCells>
  <conditionalFormatting sqref="E39:E44">
    <cfRule type="cellIs" dxfId="71" priority="4" operator="greaterThan">
      <formula>0</formula>
    </cfRule>
  </conditionalFormatting>
  <conditionalFormatting sqref="E39:E44">
    <cfRule type="cellIs" dxfId="70" priority="3" operator="lessThan">
      <formula>0</formula>
    </cfRule>
  </conditionalFormatting>
  <conditionalFormatting sqref="B3:D10 F3:K7 K11:K14 G14 C13:C15 J29:J31 E29:F36 B28:B31 C40:E44 E60:F60 E56:F56 E54:F54 E52:F52 E50:F50 B60 B56 B54 B52 B50 E20:F24 H20:J24 C39 E39:E44">
    <cfRule type="cellIs" dxfId="69" priority="2" operator="lessThanOrEqual">
      <formula>0</formula>
    </cfRule>
  </conditionalFormatting>
  <conditionalFormatting sqref="E39:E44">
    <cfRule type="cellIs" dxfId="68" priority="1" stopIfTrue="1" operator="greaterThanOrEqual">
      <formula>0</formula>
    </cfRule>
  </conditionalFormatting>
  <pageMargins left="0.7" right="0.7" top="0.75" bottom="0.75" header="0.3" footer="0.3"/>
  <pageSetup paperSize="9"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1D94-9600-44AE-8BC7-32A77E2717DC}">
  <sheetPr codeName="Feuil4"/>
  <dimension ref="B1:AN34"/>
  <sheetViews>
    <sheetView zoomScale="55" zoomScaleNormal="55" workbookViewId="0">
      <selection activeCell="L14" sqref="L14"/>
    </sheetView>
  </sheetViews>
  <sheetFormatPr defaultColWidth="9.140625" defaultRowHeight="15"/>
  <cols>
    <col min="3" max="3" width="9.140625" customWidth="1"/>
    <col min="4" max="4" width="9.140625" bestFit="1" customWidth="1"/>
    <col min="5" max="5" width="9.140625" customWidth="1"/>
    <col min="6" max="6" width="9.85546875" bestFit="1" customWidth="1"/>
    <col min="7" max="7" width="9.140625" bestFit="1" customWidth="1"/>
    <col min="8" max="8" width="11.42578125" customWidth="1"/>
    <col min="9" max="10" width="9.140625" bestFit="1" customWidth="1"/>
    <col min="11" max="11" width="10.85546875" bestFit="1" customWidth="1"/>
    <col min="12" max="13" width="9.140625" bestFit="1" customWidth="1"/>
    <col min="14" max="14" width="10.85546875" bestFit="1" customWidth="1"/>
    <col min="15" max="15" width="19.85546875" customWidth="1"/>
    <col min="16" max="16" width="21.5703125" customWidth="1"/>
    <col min="17" max="17" width="19.28515625" customWidth="1"/>
    <col min="18" max="18" width="30.28515625" customWidth="1"/>
  </cols>
  <sheetData>
    <row r="1" spans="2:19">
      <c r="B1" s="159"/>
      <c r="C1" s="160"/>
      <c r="D1" s="13"/>
      <c r="E1" s="13"/>
      <c r="F1" s="13"/>
      <c r="G1" s="13"/>
      <c r="H1" s="13"/>
      <c r="I1" s="13"/>
      <c r="J1" s="13"/>
      <c r="K1" s="13"/>
      <c r="L1" s="13"/>
      <c r="M1" s="164" t="s">
        <v>163</v>
      </c>
      <c r="N1" s="164"/>
      <c r="O1" s="13"/>
      <c r="P1" s="13"/>
      <c r="Q1" s="13"/>
      <c r="R1" s="13"/>
      <c r="S1" s="13"/>
    </row>
    <row r="2" spans="2:19">
      <c r="B2" s="160"/>
      <c r="C2" s="160"/>
      <c r="D2" s="13"/>
      <c r="E2" s="13"/>
      <c r="F2" s="13"/>
      <c r="G2" s="13"/>
      <c r="H2" s="13"/>
      <c r="I2" s="13"/>
      <c r="J2" s="13"/>
      <c r="K2" s="13"/>
      <c r="L2" s="13"/>
      <c r="M2" s="164"/>
      <c r="N2" s="164"/>
      <c r="O2" s="13"/>
      <c r="P2" s="13"/>
      <c r="Q2" s="13"/>
      <c r="R2" s="13"/>
      <c r="S2" s="13"/>
    </row>
    <row r="3" spans="2:19">
      <c r="B3" s="13"/>
      <c r="C3" s="10" t="s">
        <v>164</v>
      </c>
      <c r="D3" s="10"/>
      <c r="E3" s="10"/>
      <c r="F3" s="10" t="s">
        <v>165</v>
      </c>
      <c r="G3" s="10"/>
      <c r="H3" s="10" t="s">
        <v>166</v>
      </c>
      <c r="I3" s="10"/>
      <c r="J3" s="10"/>
      <c r="K3" s="10" t="s">
        <v>167</v>
      </c>
      <c r="L3" s="10"/>
      <c r="M3" s="10"/>
      <c r="N3" s="10" t="s">
        <v>168</v>
      </c>
      <c r="O3" s="10"/>
      <c r="P3" s="10"/>
      <c r="Q3" s="113"/>
      <c r="R3" s="113"/>
      <c r="S3" s="13"/>
    </row>
    <row r="4" spans="2:19">
      <c r="B4" s="13"/>
      <c r="C4" s="58">
        <v>44500</v>
      </c>
      <c r="F4" s="112">
        <v>5840</v>
      </c>
      <c r="H4" s="58">
        <v>1599541</v>
      </c>
      <c r="K4" s="58">
        <v>300000</v>
      </c>
      <c r="N4" s="58">
        <v>10003</v>
      </c>
      <c r="S4" s="13"/>
    </row>
    <row r="5" spans="2:19">
      <c r="B5" s="13"/>
      <c r="S5" s="13"/>
    </row>
    <row r="6" spans="2:19">
      <c r="B6" s="13"/>
      <c r="S6" s="13"/>
    </row>
    <row r="7" spans="2:19">
      <c r="B7" s="13"/>
      <c r="S7" s="13"/>
    </row>
    <row r="8" spans="2:19" ht="22.5" customHeight="1">
      <c r="B8" s="13"/>
      <c r="F8" s="131" t="s">
        <v>169</v>
      </c>
      <c r="G8" s="114"/>
      <c r="H8" s="114"/>
      <c r="S8" s="13"/>
    </row>
    <row r="9" spans="2:19" ht="15.75" customHeight="1">
      <c r="B9" s="13"/>
      <c r="C9" s="10" t="s">
        <v>119</v>
      </c>
      <c r="D9" s="10"/>
      <c r="E9" s="10"/>
      <c r="F9" s="10" t="s">
        <v>121</v>
      </c>
      <c r="G9" s="10"/>
      <c r="H9" s="10" t="s">
        <v>170</v>
      </c>
      <c r="I9" s="10"/>
      <c r="J9" s="10"/>
      <c r="K9" s="10" t="s">
        <v>130</v>
      </c>
      <c r="L9" s="10"/>
      <c r="M9" s="10"/>
      <c r="N9" s="10" t="s">
        <v>122</v>
      </c>
      <c r="O9" s="10"/>
      <c r="P9" s="10"/>
      <c r="Q9" s="10" t="s">
        <v>171</v>
      </c>
      <c r="R9" s="10" t="s">
        <v>73</v>
      </c>
      <c r="S9" s="13"/>
    </row>
    <row r="10" spans="2:19">
      <c r="B10" s="13"/>
      <c r="C10" s="58">
        <f>Calcul!J50</f>
        <v>2927</v>
      </c>
      <c r="F10" s="70">
        <f>Calcul!J51</f>
        <v>35600</v>
      </c>
      <c r="H10" s="70">
        <f>Calcul!J52</f>
        <v>3951</v>
      </c>
      <c r="K10" s="58">
        <f>Calcul!J53</f>
        <v>184</v>
      </c>
      <c r="N10" s="58">
        <f>Calcul!J54</f>
        <v>1200</v>
      </c>
      <c r="Q10" s="123">
        <f>Calcul!J29</f>
        <v>1387834</v>
      </c>
      <c r="R10" s="115">
        <f>Calcul!J31</f>
        <v>3656670.9000000004</v>
      </c>
      <c r="S10" s="13"/>
    </row>
    <row r="11" spans="2:19">
      <c r="B11" s="13"/>
      <c r="S11" s="13"/>
    </row>
    <row r="12" spans="2:19" ht="24.75" customHeight="1">
      <c r="B12" s="13"/>
      <c r="E12" s="116" t="s">
        <v>172</v>
      </c>
      <c r="F12" s="116"/>
      <c r="S12" s="13"/>
    </row>
    <row r="13" spans="2:19">
      <c r="B13" s="13"/>
      <c r="C13" s="10" t="s">
        <v>108</v>
      </c>
      <c r="D13" s="10"/>
      <c r="E13" s="10" t="s">
        <v>115</v>
      </c>
      <c r="F13" s="10"/>
      <c r="G13" s="10" t="s">
        <v>113</v>
      </c>
      <c r="H13" s="10"/>
      <c r="I13" s="10" t="s">
        <v>77</v>
      </c>
      <c r="J13" s="10"/>
      <c r="K13" s="10"/>
      <c r="L13" s="10" t="s">
        <v>116</v>
      </c>
      <c r="M13" s="10"/>
      <c r="N13" s="10" t="s">
        <v>173</v>
      </c>
      <c r="O13" s="10"/>
      <c r="P13" s="10" t="s">
        <v>174</v>
      </c>
      <c r="Q13" s="10"/>
      <c r="R13" s="10"/>
      <c r="S13" s="13"/>
    </row>
    <row r="14" spans="2:19">
      <c r="B14" s="13"/>
      <c r="C14" s="58">
        <f>Calcul!E39</f>
        <v>0</v>
      </c>
      <c r="E14" s="58">
        <f>Calcul!E40</f>
        <v>105</v>
      </c>
      <c r="G14" s="58">
        <f>Calcul!E41</f>
        <v>1539.3839999999998</v>
      </c>
      <c r="I14" s="58">
        <f>Calcul!E42</f>
        <v>13072</v>
      </c>
      <c r="L14" s="58">
        <f>Calcul!E43</f>
        <v>0.50000000000090949</v>
      </c>
      <c r="N14" s="58">
        <f>Calcul!E44</f>
        <v>16.906000000017229</v>
      </c>
      <c r="S14" s="13"/>
    </row>
    <row r="15" spans="2:19">
      <c r="B15" s="13"/>
      <c r="S15" s="13"/>
    </row>
    <row r="16" spans="2:19">
      <c r="B16" s="13"/>
      <c r="S16" s="13"/>
    </row>
    <row r="17" spans="2:40" ht="22.5" customHeight="1">
      <c r="B17" s="13"/>
      <c r="E17" s="131" t="s">
        <v>175</v>
      </c>
      <c r="F17" s="55"/>
      <c r="S17" s="13"/>
      <c r="W17" s="14"/>
    </row>
    <row r="18" spans="2:40">
      <c r="B18" s="13"/>
      <c r="C18" s="10" t="s">
        <v>66</v>
      </c>
      <c r="D18" s="10"/>
      <c r="E18" s="10" t="s">
        <v>176</v>
      </c>
      <c r="F18" s="10"/>
      <c r="G18" s="10" t="s">
        <v>38</v>
      </c>
      <c r="H18" s="10"/>
      <c r="I18" s="10" t="s">
        <v>177</v>
      </c>
      <c r="J18" s="10"/>
      <c r="K18" s="10"/>
      <c r="L18" s="10"/>
      <c r="M18" s="10"/>
      <c r="N18" s="10"/>
      <c r="O18" s="10"/>
      <c r="P18" s="10"/>
      <c r="Q18" s="10"/>
      <c r="R18" s="10"/>
      <c r="S18" s="1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</row>
    <row r="19" spans="2:40">
      <c r="B19" s="13"/>
      <c r="C19" s="38">
        <f>Calcul!B28</f>
        <v>0.67239555555555564</v>
      </c>
      <c r="E19" s="38">
        <f>Calcul!B29</f>
        <v>0.65769116333333333</v>
      </c>
      <c r="G19" s="38">
        <f>Calcul!B30</f>
        <v>0.95903741141975307</v>
      </c>
      <c r="I19" s="38">
        <f>Calcul!B31</f>
        <v>0.97121270714285723</v>
      </c>
      <c r="S19" s="13"/>
      <c r="W19" t="s">
        <v>178</v>
      </c>
      <c r="AA19" s="133"/>
      <c r="AN19" s="133"/>
    </row>
    <row r="20" spans="2:40" ht="15" customHeight="1">
      <c r="B20" s="13"/>
      <c r="S20" s="13"/>
      <c r="W20" t="s">
        <v>179</v>
      </c>
      <c r="AA20" s="133"/>
      <c r="AC20" s="161" t="s">
        <v>180</v>
      </c>
      <c r="AD20" s="161"/>
      <c r="AE20" s="161"/>
      <c r="AF20" s="162" t="s">
        <v>181</v>
      </c>
      <c r="AG20" s="162"/>
      <c r="AH20" s="162"/>
      <c r="AN20" s="133"/>
    </row>
    <row r="21" spans="2:40" ht="15" customHeight="1">
      <c r="B21" s="13"/>
      <c r="H21" s="38"/>
      <c r="S21" s="13"/>
      <c r="W21" t="s">
        <v>182</v>
      </c>
      <c r="AA21" s="133"/>
      <c r="AC21" s="161"/>
      <c r="AD21" s="161"/>
      <c r="AE21" s="161"/>
      <c r="AF21" s="162"/>
      <c r="AG21" s="162"/>
      <c r="AH21" s="162"/>
      <c r="AN21" s="133"/>
    </row>
    <row r="22" spans="2:40" ht="18.75" customHeight="1">
      <c r="B22" s="13"/>
      <c r="E22" s="116" t="s">
        <v>183</v>
      </c>
      <c r="S22" s="13"/>
      <c r="W22" t="s">
        <v>184</v>
      </c>
      <c r="AA22" s="133"/>
      <c r="AC22" s="161"/>
      <c r="AD22" s="161"/>
      <c r="AE22" s="161"/>
      <c r="AF22" s="162"/>
      <c r="AG22" s="162"/>
      <c r="AH22" s="162"/>
      <c r="AN22" s="133"/>
    </row>
    <row r="23" spans="2:40">
      <c r="B23" s="13"/>
      <c r="C23" s="10" t="s">
        <v>24</v>
      </c>
      <c r="D23" s="10"/>
      <c r="E23" s="10"/>
      <c r="F23" s="10" t="s">
        <v>25</v>
      </c>
      <c r="G23" s="10"/>
      <c r="H23" s="10"/>
      <c r="I23" s="10"/>
      <c r="J23" s="10"/>
      <c r="K23" s="10"/>
      <c r="L23" s="10"/>
      <c r="M23" s="10"/>
      <c r="N23" s="10" t="s">
        <v>185</v>
      </c>
      <c r="O23" s="10"/>
      <c r="P23" s="10"/>
      <c r="Q23" s="10"/>
      <c r="R23" s="10"/>
      <c r="S23" s="13" t="s">
        <v>174</v>
      </c>
      <c r="AA23" s="133"/>
      <c r="AN23" s="133"/>
    </row>
    <row r="24" spans="2:40">
      <c r="B24" s="13"/>
      <c r="C24" s="58">
        <f>Calcul!$D$10</f>
        <v>159400</v>
      </c>
      <c r="F24" s="58">
        <f>Calcul!$C$10</f>
        <v>94</v>
      </c>
      <c r="I24" s="47"/>
      <c r="J24" s="46"/>
      <c r="N24" s="58">
        <f>Calcul!D10-130800</f>
        <v>28600</v>
      </c>
      <c r="S24" s="13"/>
      <c r="W24" s="134" t="s">
        <v>186</v>
      </c>
      <c r="X24" s="134"/>
      <c r="Y24" s="134"/>
      <c r="AA24" s="133"/>
      <c r="AN24" s="133"/>
    </row>
    <row r="25" spans="2:40">
      <c r="B25" s="13"/>
      <c r="S25" s="13"/>
      <c r="AA25" s="133"/>
      <c r="AN25" s="133"/>
    </row>
    <row r="26" spans="2:40">
      <c r="B26" s="13"/>
      <c r="S26" s="13"/>
      <c r="AA26" s="133"/>
      <c r="AN26" s="133"/>
    </row>
    <row r="27" spans="2:40" ht="21">
      <c r="B27" s="13"/>
      <c r="E27" s="116" t="s">
        <v>187</v>
      </c>
      <c r="F27" s="116"/>
      <c r="G27" s="116"/>
      <c r="S27" s="13"/>
      <c r="AA27" s="133"/>
      <c r="AN27" s="133"/>
    </row>
    <row r="28" spans="2:40">
      <c r="B28" s="13"/>
      <c r="C28" s="10" t="s">
        <v>66</v>
      </c>
      <c r="D28" s="10"/>
      <c r="E28" s="10"/>
      <c r="F28" s="10" t="s">
        <v>176</v>
      </c>
      <c r="G28" s="10"/>
      <c r="H28" s="10"/>
      <c r="I28" s="10" t="s">
        <v>38</v>
      </c>
      <c r="J28" s="10"/>
      <c r="K28" s="10"/>
      <c r="L28" s="10" t="s">
        <v>40</v>
      </c>
      <c r="M28" s="10"/>
      <c r="N28" s="10"/>
      <c r="O28" s="10" t="s">
        <v>13</v>
      </c>
      <c r="P28" s="10"/>
      <c r="Q28" s="10"/>
      <c r="R28" s="10"/>
      <c r="S28" s="13"/>
      <c r="AA28" s="133"/>
      <c r="AN28" s="133"/>
    </row>
    <row r="29" spans="2:40">
      <c r="B29" s="13"/>
      <c r="C29" s="58">
        <v>0</v>
      </c>
      <c r="F29" s="58">
        <v>0</v>
      </c>
      <c r="I29" s="58">
        <v>0</v>
      </c>
      <c r="L29" s="58">
        <v>0</v>
      </c>
      <c r="O29" s="117">
        <f>SUM((C29*Calcul!H95)+(F29*Calcul!I95)+(I29*Calcul!J95)+(L29*Calcul!K95))</f>
        <v>0</v>
      </c>
      <c r="S29" s="13"/>
      <c r="AA29" s="133"/>
      <c r="AC29" s="161" t="s">
        <v>188</v>
      </c>
      <c r="AD29" s="161"/>
      <c r="AE29" s="161"/>
      <c r="AF29" s="163" t="s">
        <v>55</v>
      </c>
      <c r="AG29" s="163"/>
      <c r="AH29" s="163"/>
      <c r="AN29" s="133"/>
    </row>
    <row r="30" spans="2:40">
      <c r="B30" s="13"/>
      <c r="S30" s="13"/>
      <c r="V30" s="29"/>
      <c r="AA30" s="133"/>
      <c r="AC30" s="161"/>
      <c r="AD30" s="161"/>
      <c r="AE30" s="161"/>
      <c r="AF30" s="163"/>
      <c r="AG30" s="163"/>
      <c r="AH30" s="163"/>
      <c r="AN30" s="133"/>
    </row>
    <row r="31" spans="2:40">
      <c r="B31" s="13"/>
      <c r="S31" s="13"/>
      <c r="AA31" s="133"/>
      <c r="AC31" s="161"/>
      <c r="AD31" s="161"/>
      <c r="AE31" s="161"/>
      <c r="AF31" s="163"/>
      <c r="AG31" s="163"/>
      <c r="AH31" s="163"/>
      <c r="AN31" s="133"/>
    </row>
    <row r="32" spans="2:40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AA32" s="133"/>
      <c r="AN32" s="133"/>
    </row>
    <row r="33" spans="2:40" ht="23.25"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18" t="s">
        <v>189</v>
      </c>
      <c r="Q33" s="158">
        <f>Calcul!J31-$O$29</f>
        <v>3656670.9000000004</v>
      </c>
      <c r="R33" s="158"/>
      <c r="S33" s="13"/>
      <c r="T33" s="29"/>
      <c r="AA33" s="133"/>
      <c r="AN33" s="133"/>
    </row>
    <row r="34" spans="2:40"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</row>
  </sheetData>
  <mergeCells count="7">
    <mergeCell ref="Q33:R33"/>
    <mergeCell ref="B1:C2"/>
    <mergeCell ref="AC20:AE22"/>
    <mergeCell ref="AF20:AH22"/>
    <mergeCell ref="AC29:AE31"/>
    <mergeCell ref="AF29:AH31"/>
    <mergeCell ref="M1:N2"/>
  </mergeCells>
  <conditionalFormatting sqref="Q33">
    <cfRule type="cellIs" dxfId="25" priority="27" operator="greaterThan">
      <formula>0</formula>
    </cfRule>
  </conditionalFormatting>
  <conditionalFormatting sqref="Q33">
    <cfRule type="cellIs" dxfId="24" priority="26" operator="lessThan">
      <formula>0</formula>
    </cfRule>
  </conditionalFormatting>
  <conditionalFormatting sqref="C19">
    <cfRule type="dataBar" priority="1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{EFF54FD4-A846-4D74-835E-6BD9C5481C8B}</x14:id>
        </ext>
      </extLst>
    </cfRule>
  </conditionalFormatting>
  <conditionalFormatting sqref="E19">
    <cfRule type="dataBar" priority="16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{732A3C37-FA79-42C7-9ED6-8BA209A7EFF6}</x14:id>
        </ext>
      </extLst>
    </cfRule>
  </conditionalFormatting>
  <conditionalFormatting sqref="G19">
    <cfRule type="dataBar" priority="15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{84740BCD-A425-4E44-8223-E3F1BA9DD0E0}</x14:id>
        </ext>
      </extLst>
    </cfRule>
  </conditionalFormatting>
  <conditionalFormatting sqref="I19">
    <cfRule type="dataBar" priority="14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{E1A65D2C-EDEC-44C5-9F82-32DF9E71FA2D}</x14:id>
        </ext>
      </extLst>
    </cfRule>
  </conditionalFormatting>
  <conditionalFormatting sqref="R10">
    <cfRule type="cellIs" dxfId="23" priority="12" operator="lessThanOrEqual">
      <formula>0</formula>
    </cfRule>
  </conditionalFormatting>
  <conditionalFormatting sqref="C4 F4 H4 K4 N4">
    <cfRule type="cellIs" dxfId="22" priority="11" stopIfTrue="1" operator="lessThanOrEqual">
      <formula>0</formula>
    </cfRule>
  </conditionalFormatting>
  <conditionalFormatting sqref="C29 F29 I29 L29">
    <cfRule type="cellIs" dxfId="21" priority="9" operator="lessThanOrEqual">
      <formula>0</formula>
    </cfRule>
  </conditionalFormatting>
  <conditionalFormatting sqref="S3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C19 E19 G19 I19">
    <cfRule type="cellIs" dxfId="20" priority="3" operator="greaterThan">
      <formula>1</formula>
    </cfRule>
  </conditionalFormatting>
  <conditionalFormatting sqref="C19 E19 G19 I19">
    <cfRule type="cellIs" dxfId="19" priority="1" operator="greaterThan">
      <formula>1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4.AchatMachine">
                <anchor moveWithCells="1" sizeWithCells="1">
                  <from>
                    <xdr:col>0</xdr:col>
                    <xdr:colOff>581025</xdr:colOff>
                    <xdr:row>35</xdr:row>
                    <xdr:rowOff>123825</xdr:rowOff>
                  </from>
                  <to>
                    <xdr:col>4</xdr:col>
                    <xdr:colOff>57150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uil4.SaisirObjectif">
                <anchor moveWithCells="1" sizeWithCells="1">
                  <from>
                    <xdr:col>11</xdr:col>
                    <xdr:colOff>257175</xdr:colOff>
                    <xdr:row>35</xdr:row>
                    <xdr:rowOff>161925</xdr:rowOff>
                  </from>
                  <to>
                    <xdr:col>14</xdr:col>
                    <xdr:colOff>419100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euil4.Reset">
                <anchor moveWithCells="1" sizeWithCells="1">
                  <from>
                    <xdr:col>14</xdr:col>
                    <xdr:colOff>981075</xdr:colOff>
                    <xdr:row>35</xdr:row>
                    <xdr:rowOff>152400</xdr:rowOff>
                  </from>
                  <to>
                    <xdr:col>16</xdr:col>
                    <xdr:colOff>323850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uil4.ResetMachin">
                <anchor moveWithCells="1" sizeWithCells="1">
                  <from>
                    <xdr:col>4</xdr:col>
                    <xdr:colOff>561975</xdr:colOff>
                    <xdr:row>35</xdr:row>
                    <xdr:rowOff>114300</xdr:rowOff>
                  </from>
                  <to>
                    <xdr:col>7</xdr:col>
                    <xdr:colOff>600075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Feuil4.SauvegardeMensuelle">
                <anchor moveWithCells="1" sizeWithCells="1">
                  <from>
                    <xdr:col>34</xdr:col>
                    <xdr:colOff>323850</xdr:colOff>
                    <xdr:row>18</xdr:row>
                    <xdr:rowOff>57150</xdr:rowOff>
                  </from>
                  <to>
                    <xdr:col>38</xdr:col>
                    <xdr:colOff>47625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Feuil4.OuvertureForm">
                <anchor moveWithCells="1" sizeWithCells="1">
                  <from>
                    <xdr:col>34</xdr:col>
                    <xdr:colOff>161925</xdr:colOff>
                    <xdr:row>27</xdr:row>
                    <xdr:rowOff>19050</xdr:rowOff>
                  </from>
                  <to>
                    <xdr:col>38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F54FD4-A846-4D74-835E-6BD9C5481C8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C19</xm:sqref>
        </x14:conditionalFormatting>
        <x14:conditionalFormatting xmlns:xm="http://schemas.microsoft.com/office/excel/2006/main">
          <x14:cfRule type="dataBar" id="{732A3C37-FA79-42C7-9ED6-8BA209A7EFF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84740BCD-A425-4E44-8223-E3F1BA9DD0E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E1A65D2C-EDEC-44C5-9F82-32DF9E71FA2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503C494-8DC4-4B42-8092-993FE64A4199}">
          <x14:formula1>
            <xm:f>Data!$B$1:$I$1</xm:f>
          </x14:formula1>
          <xm:sqref>AF20:AH22</xm:sqref>
        </x14:dataValidation>
        <x14:dataValidation type="list" allowBlank="1" showInputMessage="1" showErrorMessage="1" xr:uid="{68CE96DA-6DAE-433F-A9AA-EDD7DA76ECDB}">
          <x14:formula1>
            <xm:f>Calcul!$E$19:$F$19</xm:f>
          </x14:formula1>
          <xm:sqref>AF29:AH31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C6F92-ACCE-45DE-8741-4358A8AEA4F6}">
  <sheetPr codeName="Feuil8"/>
  <dimension ref="A1:M136"/>
  <sheetViews>
    <sheetView workbookViewId="0">
      <selection activeCell="D85" sqref="D85"/>
    </sheetView>
  </sheetViews>
  <sheetFormatPr defaultColWidth="9.140625" defaultRowHeight="15"/>
  <cols>
    <col min="1" max="1" width="17.42578125" bestFit="1" customWidth="1"/>
    <col min="2" max="2" width="21.42578125" customWidth="1"/>
    <col min="3" max="3" width="25.7109375" bestFit="1" customWidth="1"/>
    <col min="4" max="4" width="23.5703125" bestFit="1" customWidth="1"/>
    <col min="5" max="5" width="15.7109375" customWidth="1"/>
    <col min="6" max="6" width="13.42578125" customWidth="1"/>
    <col min="7" max="7" width="17.42578125" customWidth="1"/>
    <col min="8" max="8" width="18.7109375" customWidth="1"/>
    <col min="9" max="9" width="26.85546875" customWidth="1"/>
    <col min="13" max="13" width="13.28515625" customWidth="1"/>
  </cols>
  <sheetData>
    <row r="1" spans="1:13">
      <c r="A1" t="s">
        <v>49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s="108" t="s">
        <v>196</v>
      </c>
      <c r="M1" s="2"/>
    </row>
    <row r="2" spans="1:13" hidden="1">
      <c r="A2" t="s">
        <v>114</v>
      </c>
      <c r="B2" t="s">
        <v>197</v>
      </c>
      <c r="C2" t="s">
        <v>198</v>
      </c>
      <c r="D2" t="s">
        <v>199</v>
      </c>
      <c r="E2">
        <v>8.19</v>
      </c>
      <c r="F2">
        <v>7900</v>
      </c>
      <c r="G2">
        <f>Medias[[#This Row],[GPR]]/Medias[[#This Row],[Prix]]</f>
        <v>1.0367088607594935E-3</v>
      </c>
    </row>
    <row r="3" spans="1:13" hidden="1">
      <c r="A3" t="s">
        <v>114</v>
      </c>
      <c r="B3" t="s">
        <v>197</v>
      </c>
      <c r="C3" t="s">
        <v>200</v>
      </c>
      <c r="D3" t="s">
        <v>201</v>
      </c>
      <c r="E3">
        <v>8.3699999999999992</v>
      </c>
      <c r="F3">
        <v>9000</v>
      </c>
      <c r="G3">
        <f>Medias[[#This Row],[GPR]]/Medias[[#This Row],[Prix]]</f>
        <v>9.2999999999999995E-4</v>
      </c>
    </row>
    <row r="4" spans="1:13" hidden="1">
      <c r="A4" t="s">
        <v>114</v>
      </c>
      <c r="B4" t="s">
        <v>197</v>
      </c>
      <c r="C4" t="s">
        <v>202</v>
      </c>
      <c r="D4" t="s">
        <v>201</v>
      </c>
      <c r="E4">
        <v>7.29</v>
      </c>
      <c r="F4">
        <v>8000</v>
      </c>
      <c r="G4">
        <f>Medias[[#This Row],[GPR]]/Medias[[#This Row],[Prix]]</f>
        <v>9.1124999999999995E-4</v>
      </c>
    </row>
    <row r="5" spans="1:13" hidden="1">
      <c r="A5" t="s">
        <v>114</v>
      </c>
      <c r="B5" t="s">
        <v>197</v>
      </c>
      <c r="C5" t="s">
        <v>202</v>
      </c>
      <c r="D5" t="s">
        <v>203</v>
      </c>
      <c r="E5">
        <v>8.1</v>
      </c>
      <c r="F5">
        <v>12500</v>
      </c>
      <c r="G5">
        <f>Medias[[#This Row],[GPR]]/Medias[[#This Row],[Prix]]</f>
        <v>6.4799999999999992E-4</v>
      </c>
    </row>
    <row r="6" spans="1:13" hidden="1">
      <c r="A6" t="s">
        <v>114</v>
      </c>
      <c r="B6" t="s">
        <v>197</v>
      </c>
      <c r="C6" t="s">
        <v>198</v>
      </c>
      <c r="D6" t="s">
        <v>204</v>
      </c>
      <c r="E6">
        <v>8.64</v>
      </c>
      <c r="F6">
        <v>15800</v>
      </c>
      <c r="G6">
        <f>Medias[[#This Row],[GPR]]/Medias[[#This Row],[Prix]]</f>
        <v>5.4683544303797476E-4</v>
      </c>
    </row>
    <row r="7" spans="1:13" hidden="1">
      <c r="A7" t="s">
        <v>114</v>
      </c>
      <c r="B7" t="s">
        <v>197</v>
      </c>
      <c r="C7" t="s">
        <v>200</v>
      </c>
      <c r="D7" t="s">
        <v>199</v>
      </c>
      <c r="E7">
        <v>8.84</v>
      </c>
      <c r="F7">
        <v>17000</v>
      </c>
      <c r="G7">
        <f>Medias[[#This Row],[GPR]]/Medias[[#This Row],[Prix]]</f>
        <v>5.1999999999999995E-4</v>
      </c>
    </row>
    <row r="8" spans="1:13" hidden="1">
      <c r="A8" t="s">
        <v>114</v>
      </c>
      <c r="B8" t="s">
        <v>205</v>
      </c>
      <c r="C8" t="s">
        <v>206</v>
      </c>
      <c r="D8" t="s">
        <v>207</v>
      </c>
      <c r="E8">
        <v>12.3</v>
      </c>
      <c r="F8">
        <v>24800</v>
      </c>
      <c r="G8">
        <f>Medias[[#This Row],[GPR]]/Medias[[#This Row],[Prix]]</f>
        <v>4.9596774193548391E-4</v>
      </c>
    </row>
    <row r="9" spans="1:13" hidden="1">
      <c r="A9" t="s">
        <v>114</v>
      </c>
      <c r="B9" s="3" t="s">
        <v>208</v>
      </c>
      <c r="C9" t="s">
        <v>209</v>
      </c>
      <c r="D9" t="s">
        <v>210</v>
      </c>
      <c r="E9">
        <v>13.8</v>
      </c>
      <c r="F9">
        <v>29000</v>
      </c>
      <c r="G9">
        <f>Medias[[#This Row],[GPR]]/Medias[[#This Row],[Prix]]</f>
        <v>4.7586206896551729E-4</v>
      </c>
    </row>
    <row r="10" spans="1:13" hidden="1">
      <c r="A10" t="s">
        <v>114</v>
      </c>
      <c r="B10" s="3" t="s">
        <v>208</v>
      </c>
      <c r="C10" t="s">
        <v>209</v>
      </c>
      <c r="D10" t="s">
        <v>211</v>
      </c>
      <c r="E10">
        <v>12.42</v>
      </c>
      <c r="F10">
        <v>27000</v>
      </c>
      <c r="G10">
        <f>Medias[[#This Row],[GPR]]/Medias[[#This Row],[Prix]]</f>
        <v>4.6000000000000001E-4</v>
      </c>
    </row>
    <row r="11" spans="1:13" hidden="1">
      <c r="A11" t="s">
        <v>114</v>
      </c>
      <c r="B11" t="s">
        <v>205</v>
      </c>
      <c r="C11" t="s">
        <v>212</v>
      </c>
      <c r="D11" t="s">
        <v>213</v>
      </c>
      <c r="E11">
        <v>10.4</v>
      </c>
      <c r="F11">
        <v>23000</v>
      </c>
      <c r="G11">
        <f>Medias[[#This Row],[GPR]]/Medias[[#This Row],[Prix]]</f>
        <v>4.5217391304347828E-4</v>
      </c>
    </row>
    <row r="12" spans="1:13" hidden="1">
      <c r="A12" t="s">
        <v>114</v>
      </c>
      <c r="B12" t="s">
        <v>205</v>
      </c>
      <c r="C12" t="s">
        <v>206</v>
      </c>
      <c r="D12" t="s">
        <v>214</v>
      </c>
      <c r="E12">
        <v>9.84</v>
      </c>
      <c r="F12">
        <v>22000</v>
      </c>
      <c r="G12">
        <f>Medias[[#This Row],[GPR]]/Medias[[#This Row],[Prix]]</f>
        <v>4.4727272727272725E-4</v>
      </c>
    </row>
    <row r="13" spans="1:13" hidden="1">
      <c r="A13" t="s">
        <v>114</v>
      </c>
      <c r="B13" t="s">
        <v>205</v>
      </c>
      <c r="C13" t="s">
        <v>212</v>
      </c>
      <c r="D13" t="s">
        <v>215</v>
      </c>
      <c r="E13">
        <v>10.4</v>
      </c>
      <c r="F13">
        <v>23500</v>
      </c>
      <c r="G13">
        <f>Medias[[#This Row],[GPR]]/Medias[[#This Row],[Prix]]</f>
        <v>4.4255319148936174E-4</v>
      </c>
    </row>
    <row r="14" spans="1:13" hidden="1">
      <c r="A14" t="s">
        <v>114</v>
      </c>
      <c r="B14" t="s">
        <v>205</v>
      </c>
      <c r="C14" t="s">
        <v>212</v>
      </c>
      <c r="D14" t="s">
        <v>216</v>
      </c>
      <c r="E14">
        <v>10.4</v>
      </c>
      <c r="F14">
        <v>24000</v>
      </c>
      <c r="G14">
        <f>Medias[[#This Row],[GPR]]/Medias[[#This Row],[Prix]]</f>
        <v>4.3333333333333337E-4</v>
      </c>
    </row>
    <row r="15" spans="1:13" hidden="1">
      <c r="A15" t="s">
        <v>114</v>
      </c>
      <c r="B15" s="3" t="s">
        <v>208</v>
      </c>
      <c r="C15" s="3" t="s">
        <v>217</v>
      </c>
      <c r="D15" s="3" t="s">
        <v>218</v>
      </c>
      <c r="E15">
        <v>14.2</v>
      </c>
      <c r="F15">
        <v>33000</v>
      </c>
      <c r="G15">
        <f>Medias[[#This Row],[GPR]]/Medias[[#This Row],[Prix]]</f>
        <v>4.3030303030303026E-4</v>
      </c>
    </row>
    <row r="16" spans="1:13" hidden="1">
      <c r="A16" t="s">
        <v>114</v>
      </c>
      <c r="B16" t="s">
        <v>205</v>
      </c>
      <c r="C16" t="s">
        <v>206</v>
      </c>
      <c r="D16" t="s">
        <v>219</v>
      </c>
      <c r="E16">
        <v>11.69</v>
      </c>
      <c r="F16">
        <v>27300</v>
      </c>
      <c r="G16">
        <f>Medias[[#This Row],[GPR]]/Medias[[#This Row],[Prix]]</f>
        <v>4.2820512820512818E-4</v>
      </c>
    </row>
    <row r="17" spans="1:8" hidden="1">
      <c r="A17" t="s">
        <v>114</v>
      </c>
      <c r="B17" s="3" t="s">
        <v>208</v>
      </c>
      <c r="C17" t="s">
        <v>209</v>
      </c>
      <c r="D17" t="s">
        <v>219</v>
      </c>
      <c r="E17">
        <v>13.11</v>
      </c>
      <c r="F17">
        <v>31000</v>
      </c>
      <c r="G17">
        <f>Medias[[#This Row],[GPR]]/Medias[[#This Row],[Prix]]</f>
        <v>4.2290322580645158E-4</v>
      </c>
    </row>
    <row r="18" spans="1:8" hidden="1">
      <c r="A18" t="s">
        <v>114</v>
      </c>
      <c r="B18" t="s">
        <v>205</v>
      </c>
      <c r="C18" t="s">
        <v>220</v>
      </c>
      <c r="D18" t="s">
        <v>221</v>
      </c>
      <c r="E18">
        <v>9</v>
      </c>
      <c r="F18">
        <v>22000</v>
      </c>
      <c r="G18">
        <f>Medias[[#This Row],[GPR]]/Medias[[#This Row],[Prix]]</f>
        <v>4.0909090909090908E-4</v>
      </c>
    </row>
    <row r="19" spans="1:8" hidden="1">
      <c r="A19" t="s">
        <v>114</v>
      </c>
      <c r="B19" t="s">
        <v>205</v>
      </c>
      <c r="C19" t="s">
        <v>220</v>
      </c>
      <c r="D19" t="s">
        <v>222</v>
      </c>
      <c r="E19">
        <v>8.1</v>
      </c>
      <c r="F19">
        <v>20000</v>
      </c>
      <c r="G19">
        <f>Medias[[#This Row],[GPR]]/Medias[[#This Row],[Prix]]</f>
        <v>4.0499999999999998E-4</v>
      </c>
    </row>
    <row r="20" spans="1:8" hidden="1">
      <c r="A20" t="s">
        <v>114</v>
      </c>
      <c r="B20" s="3" t="s">
        <v>208</v>
      </c>
      <c r="C20" t="s">
        <v>223</v>
      </c>
      <c r="D20" t="s">
        <v>224</v>
      </c>
      <c r="E20">
        <v>12.6</v>
      </c>
      <c r="F20">
        <v>31200</v>
      </c>
      <c r="G20">
        <f>Medias[[#This Row],[GPR]]/Medias[[#This Row],[Prix]]</f>
        <v>4.0384615384615383E-4</v>
      </c>
    </row>
    <row r="21" spans="1:8" hidden="1">
      <c r="A21" t="s">
        <v>114</v>
      </c>
      <c r="B21" s="3" t="s">
        <v>208</v>
      </c>
      <c r="C21" s="3" t="s">
        <v>217</v>
      </c>
      <c r="D21" t="s">
        <v>225</v>
      </c>
      <c r="E21">
        <v>14.2</v>
      </c>
      <c r="F21">
        <v>35800</v>
      </c>
      <c r="G21">
        <f>Medias[[#This Row],[GPR]]/Medias[[#This Row],[Prix]]</f>
        <v>3.966480446927374E-4</v>
      </c>
    </row>
    <row r="22" spans="1:8" hidden="1">
      <c r="A22" t="s">
        <v>114</v>
      </c>
      <c r="B22" t="s">
        <v>197</v>
      </c>
      <c r="C22" t="s">
        <v>198</v>
      </c>
      <c r="D22" t="s">
        <v>226</v>
      </c>
      <c r="E22">
        <v>9.1</v>
      </c>
      <c r="F22">
        <v>23700</v>
      </c>
      <c r="G22">
        <f>Medias[[#This Row],[GPR]]/Medias[[#This Row],[Prix]]</f>
        <v>3.8396624472573839E-4</v>
      </c>
    </row>
    <row r="23" spans="1:8" hidden="1">
      <c r="A23" t="s">
        <v>114</v>
      </c>
      <c r="B23" s="3" t="s">
        <v>208</v>
      </c>
      <c r="C23" s="3" t="s">
        <v>217</v>
      </c>
      <c r="D23" t="s">
        <v>227</v>
      </c>
      <c r="E23">
        <v>14.2</v>
      </c>
      <c r="F23">
        <v>37000</v>
      </c>
      <c r="G23">
        <f>Medias[[#This Row],[GPR]]/Medias[[#This Row],[Prix]]</f>
        <v>3.8378378378378376E-4</v>
      </c>
    </row>
    <row r="24" spans="1:8" hidden="1">
      <c r="A24" t="s">
        <v>114</v>
      </c>
      <c r="B24" t="s">
        <v>197</v>
      </c>
      <c r="C24" t="s">
        <v>202</v>
      </c>
      <c r="D24" t="s">
        <v>228</v>
      </c>
      <c r="E24">
        <v>7.29</v>
      </c>
      <c r="F24">
        <v>19000</v>
      </c>
      <c r="G24">
        <f>Medias[[#This Row],[GPR]]/Medias[[#This Row],[Prix]]</f>
        <v>3.836842105263158E-4</v>
      </c>
    </row>
    <row r="25" spans="1:8" hidden="1">
      <c r="A25" t="s">
        <v>114</v>
      </c>
      <c r="B25" s="3" t="s">
        <v>208</v>
      </c>
      <c r="C25" t="s">
        <v>223</v>
      </c>
      <c r="D25" t="s">
        <v>229</v>
      </c>
      <c r="E25">
        <v>13.7</v>
      </c>
      <c r="F25">
        <v>39000</v>
      </c>
      <c r="G25">
        <f>Medias[[#This Row],[GPR]]/Medias[[#This Row],[Prix]]</f>
        <v>3.5128205128205127E-4</v>
      </c>
    </row>
    <row r="26" spans="1:8" hidden="1">
      <c r="A26" t="s">
        <v>114</v>
      </c>
      <c r="B26" t="s">
        <v>197</v>
      </c>
      <c r="C26" t="s">
        <v>200</v>
      </c>
      <c r="D26" t="s">
        <v>230</v>
      </c>
      <c r="E26">
        <v>9.3000000000000007</v>
      </c>
      <c r="F26">
        <v>26750</v>
      </c>
      <c r="G26">
        <f>Medias[[#This Row],[GPR]]/Medias[[#This Row],[Prix]]</f>
        <v>3.4766355140186916E-4</v>
      </c>
    </row>
    <row r="27" spans="1:8" hidden="1">
      <c r="A27" t="s">
        <v>114</v>
      </c>
      <c r="B27" s="3" t="s">
        <v>208</v>
      </c>
      <c r="C27" t="s">
        <v>223</v>
      </c>
      <c r="D27" t="s">
        <v>231</v>
      </c>
      <c r="E27">
        <v>13.15</v>
      </c>
      <c r="F27">
        <v>41000</v>
      </c>
      <c r="G27">
        <f>Medias[[#This Row],[GPR]]/Medias[[#This Row],[Prix]]</f>
        <v>3.2073170731707317E-4</v>
      </c>
    </row>
    <row r="28" spans="1:8" hidden="1">
      <c r="A28" t="s">
        <v>114</v>
      </c>
      <c r="B28" t="s">
        <v>205</v>
      </c>
      <c r="C28" t="s">
        <v>220</v>
      </c>
      <c r="D28" t="s">
        <v>232</v>
      </c>
      <c r="E28">
        <v>8.1</v>
      </c>
      <c r="F28">
        <v>27000</v>
      </c>
      <c r="G28">
        <f>Medias[[#This Row],[GPR]]/Medias[[#This Row],[Prix]]</f>
        <v>2.9999999999999997E-4</v>
      </c>
    </row>
    <row r="29" spans="1:8" hidden="1">
      <c r="A29" t="s">
        <v>233</v>
      </c>
      <c r="B29" t="s">
        <v>197</v>
      </c>
      <c r="C29" t="s">
        <v>200</v>
      </c>
      <c r="D29" t="s">
        <v>201</v>
      </c>
      <c r="E29">
        <v>8.2799999999999994</v>
      </c>
      <c r="F29">
        <v>9000</v>
      </c>
      <c r="G29">
        <f>Medias[[#This Row],[GPR]]/Medias[[#This Row],[Prix]]</f>
        <v>9.1999999999999992E-4</v>
      </c>
      <c r="H29">
        <v>1</v>
      </c>
    </row>
    <row r="30" spans="1:8" hidden="1">
      <c r="A30" t="s">
        <v>233</v>
      </c>
      <c r="B30" t="s">
        <v>197</v>
      </c>
      <c r="C30" t="s">
        <v>202</v>
      </c>
      <c r="D30" t="s">
        <v>201</v>
      </c>
      <c r="E30">
        <v>6.48</v>
      </c>
      <c r="F30">
        <v>8000</v>
      </c>
      <c r="G30">
        <f>Medias[[#This Row],[GPR]]/Medias[[#This Row],[Prix]]</f>
        <v>8.1000000000000006E-4</v>
      </c>
    </row>
    <row r="31" spans="1:8" hidden="1">
      <c r="A31" t="s">
        <v>233</v>
      </c>
      <c r="B31" t="s">
        <v>197</v>
      </c>
      <c r="C31" t="s">
        <v>198</v>
      </c>
      <c r="D31" t="s">
        <v>199</v>
      </c>
      <c r="E31">
        <v>4.68</v>
      </c>
      <c r="F31">
        <v>7900</v>
      </c>
      <c r="G31">
        <f>Medias[[#This Row],[GPR]]/Medias[[#This Row],[Prix]]</f>
        <v>5.9240506329113921E-4</v>
      </c>
      <c r="H31">
        <v>1</v>
      </c>
    </row>
    <row r="32" spans="1:8" hidden="1">
      <c r="A32" t="s">
        <v>233</v>
      </c>
      <c r="B32" t="s">
        <v>197</v>
      </c>
      <c r="C32" t="s">
        <v>202</v>
      </c>
      <c r="D32" t="s">
        <v>203</v>
      </c>
      <c r="E32">
        <v>7.2</v>
      </c>
      <c r="F32">
        <v>12500</v>
      </c>
      <c r="G32">
        <f>Medias[[#This Row],[GPR]]/Medias[[#This Row],[Prix]]</f>
        <v>5.7600000000000001E-4</v>
      </c>
    </row>
    <row r="33" spans="1:8" hidden="1">
      <c r="A33" t="s">
        <v>233</v>
      </c>
      <c r="B33" t="s">
        <v>197</v>
      </c>
      <c r="C33" t="s">
        <v>200</v>
      </c>
      <c r="D33" t="s">
        <v>199</v>
      </c>
      <c r="E33">
        <v>8.74</v>
      </c>
      <c r="F33">
        <v>17000</v>
      </c>
      <c r="G33">
        <f>Medias[[#This Row],[GPR]]/Medias[[#This Row],[Prix]]</f>
        <v>5.1411764705882354E-4</v>
      </c>
    </row>
    <row r="34" spans="1:8" hidden="1">
      <c r="A34" t="s">
        <v>233</v>
      </c>
      <c r="B34" t="s">
        <v>205</v>
      </c>
      <c r="C34" t="s">
        <v>206</v>
      </c>
      <c r="D34" t="s">
        <v>207</v>
      </c>
      <c r="E34">
        <v>11.6</v>
      </c>
      <c r="F34">
        <v>24800</v>
      </c>
      <c r="G34">
        <f>Medias[[#This Row],[GPR]]/Medias[[#This Row],[Prix]]</f>
        <v>4.6774193548387096E-4</v>
      </c>
      <c r="H34">
        <v>1</v>
      </c>
    </row>
    <row r="35" spans="1:8" hidden="1">
      <c r="A35" t="s">
        <v>233</v>
      </c>
      <c r="B35" t="s">
        <v>205</v>
      </c>
      <c r="C35" t="s">
        <v>212</v>
      </c>
      <c r="D35" t="s">
        <v>213</v>
      </c>
      <c r="E35">
        <v>10.5</v>
      </c>
      <c r="F35">
        <v>23000</v>
      </c>
      <c r="G35">
        <f>Medias[[#This Row],[GPR]]/Medias[[#This Row],[Prix]]</f>
        <v>4.565217391304348E-4</v>
      </c>
      <c r="H35">
        <v>1</v>
      </c>
    </row>
    <row r="36" spans="1:8" hidden="1">
      <c r="A36" t="s">
        <v>233</v>
      </c>
      <c r="B36" t="s">
        <v>205</v>
      </c>
      <c r="C36" t="s">
        <v>212</v>
      </c>
      <c r="D36" t="s">
        <v>215</v>
      </c>
      <c r="E36">
        <v>10.5</v>
      </c>
      <c r="F36">
        <v>23500</v>
      </c>
      <c r="G36">
        <f>Medias[[#This Row],[GPR]]/Medias[[#This Row],[Prix]]</f>
        <v>4.4680851063829785E-4</v>
      </c>
    </row>
    <row r="37" spans="1:8" hidden="1">
      <c r="A37" t="s">
        <v>233</v>
      </c>
      <c r="B37" s="3" t="s">
        <v>208</v>
      </c>
      <c r="C37" s="3" t="s">
        <v>217</v>
      </c>
      <c r="D37" s="3" t="s">
        <v>218</v>
      </c>
      <c r="E37">
        <v>14.6</v>
      </c>
      <c r="F37">
        <v>33000</v>
      </c>
      <c r="G37">
        <f>Medias[[#This Row],[GPR]]/Medias[[#This Row],[Prix]]</f>
        <v>4.4242424242424243E-4</v>
      </c>
      <c r="H37">
        <v>1</v>
      </c>
    </row>
    <row r="38" spans="1:8" hidden="1">
      <c r="A38" t="s">
        <v>233</v>
      </c>
      <c r="B38" t="s">
        <v>205</v>
      </c>
      <c r="C38" t="s">
        <v>212</v>
      </c>
      <c r="D38" t="s">
        <v>216</v>
      </c>
      <c r="E38">
        <v>10.5</v>
      </c>
      <c r="F38">
        <v>24000</v>
      </c>
      <c r="G38">
        <f>Medias[[#This Row],[GPR]]/Medias[[#This Row],[Prix]]</f>
        <v>4.3750000000000001E-4</v>
      </c>
    </row>
    <row r="39" spans="1:8" hidden="1">
      <c r="A39" t="s">
        <v>233</v>
      </c>
      <c r="B39" t="s">
        <v>205</v>
      </c>
      <c r="C39" t="s">
        <v>206</v>
      </c>
      <c r="D39" t="s">
        <v>214</v>
      </c>
      <c r="E39">
        <v>9.2799999999999994</v>
      </c>
      <c r="F39">
        <v>22000</v>
      </c>
      <c r="G39">
        <f>Medias[[#This Row],[GPR]]/Medias[[#This Row],[Prix]]</f>
        <v>4.2181818181818179E-4</v>
      </c>
    </row>
    <row r="40" spans="1:8" hidden="1">
      <c r="A40" t="s">
        <v>233</v>
      </c>
      <c r="B40" s="3" t="s">
        <v>208</v>
      </c>
      <c r="C40" t="s">
        <v>209</v>
      </c>
      <c r="D40" t="s">
        <v>210</v>
      </c>
      <c r="E40">
        <v>12.2</v>
      </c>
      <c r="F40">
        <v>29000</v>
      </c>
      <c r="G40">
        <f>Medias[[#This Row],[GPR]]/Medias[[#This Row],[Prix]]</f>
        <v>4.206896551724138E-4</v>
      </c>
      <c r="H40">
        <v>1</v>
      </c>
    </row>
    <row r="41" spans="1:8" hidden="1">
      <c r="A41" t="s">
        <v>233</v>
      </c>
      <c r="B41" s="3" t="s">
        <v>208</v>
      </c>
      <c r="C41" s="3" t="s">
        <v>217</v>
      </c>
      <c r="D41" t="s">
        <v>225</v>
      </c>
      <c r="E41">
        <v>14.6</v>
      </c>
      <c r="F41">
        <v>35800</v>
      </c>
      <c r="G41">
        <f>Medias[[#This Row],[GPR]]/Medias[[#This Row],[Prix]]</f>
        <v>4.0782122905027934E-4</v>
      </c>
    </row>
    <row r="42" spans="1:8" hidden="1">
      <c r="A42" t="s">
        <v>233</v>
      </c>
      <c r="B42" s="3" t="s">
        <v>208</v>
      </c>
      <c r="C42" t="s">
        <v>209</v>
      </c>
      <c r="D42" t="s">
        <v>211</v>
      </c>
      <c r="E42">
        <v>10.98</v>
      </c>
      <c r="F42">
        <v>27000</v>
      </c>
      <c r="G42">
        <f>Medias[[#This Row],[GPR]]/Medias[[#This Row],[Prix]]</f>
        <v>4.0666666666666667E-4</v>
      </c>
    </row>
    <row r="43" spans="1:8" hidden="1">
      <c r="A43" t="s">
        <v>233</v>
      </c>
      <c r="B43" t="s">
        <v>205</v>
      </c>
      <c r="C43" t="s">
        <v>206</v>
      </c>
      <c r="D43" t="s">
        <v>219</v>
      </c>
      <c r="E43">
        <v>11.02</v>
      </c>
      <c r="F43">
        <v>27300</v>
      </c>
      <c r="G43">
        <f>Medias[[#This Row],[GPR]]/Medias[[#This Row],[Prix]]</f>
        <v>4.0366300366300367E-4</v>
      </c>
    </row>
    <row r="44" spans="1:8" hidden="1">
      <c r="A44" t="s">
        <v>233</v>
      </c>
      <c r="B44" s="3" t="s">
        <v>208</v>
      </c>
      <c r="C44" s="3" t="s">
        <v>217</v>
      </c>
      <c r="D44" t="s">
        <v>227</v>
      </c>
      <c r="E44">
        <v>14.6</v>
      </c>
      <c r="F44">
        <v>37000</v>
      </c>
      <c r="G44">
        <f>Medias[[#This Row],[GPR]]/Medias[[#This Row],[Prix]]</f>
        <v>3.945945945945946E-4</v>
      </c>
    </row>
    <row r="45" spans="1:8" hidden="1">
      <c r="A45" t="s">
        <v>233</v>
      </c>
      <c r="B45" s="3" t="s">
        <v>208</v>
      </c>
      <c r="C45" t="s">
        <v>209</v>
      </c>
      <c r="D45" t="s">
        <v>219</v>
      </c>
      <c r="E45">
        <v>11.59</v>
      </c>
      <c r="F45">
        <v>31000</v>
      </c>
      <c r="G45">
        <f>Medias[[#This Row],[GPR]]/Medias[[#This Row],[Prix]]</f>
        <v>3.7387096774193547E-4</v>
      </c>
    </row>
    <row r="46" spans="1:8" hidden="1">
      <c r="A46" t="s">
        <v>233</v>
      </c>
      <c r="B46" s="3" t="s">
        <v>208</v>
      </c>
      <c r="C46" t="s">
        <v>223</v>
      </c>
      <c r="D46" t="s">
        <v>224</v>
      </c>
      <c r="E46">
        <v>11.22</v>
      </c>
      <c r="F46">
        <v>31200</v>
      </c>
      <c r="G46">
        <f>Medias[[#This Row],[GPR]]/Medias[[#This Row],[Prix]]</f>
        <v>3.5961538461538466E-4</v>
      </c>
    </row>
    <row r="47" spans="1:8" hidden="1">
      <c r="A47" t="s">
        <v>233</v>
      </c>
      <c r="B47" t="s">
        <v>197</v>
      </c>
      <c r="C47" t="s">
        <v>200</v>
      </c>
      <c r="D47" t="s">
        <v>230</v>
      </c>
      <c r="E47">
        <v>9.1999999999999993</v>
      </c>
      <c r="F47">
        <v>26750</v>
      </c>
      <c r="G47">
        <f>Medias[[#This Row],[GPR]]/Medias[[#This Row],[Prix]]</f>
        <v>3.4392523364485978E-4</v>
      </c>
    </row>
    <row r="48" spans="1:8" hidden="1">
      <c r="A48" t="s">
        <v>233</v>
      </c>
      <c r="B48" t="s">
        <v>197</v>
      </c>
      <c r="C48" t="s">
        <v>202</v>
      </c>
      <c r="D48" t="s">
        <v>228</v>
      </c>
      <c r="E48">
        <v>6.48</v>
      </c>
      <c r="F48">
        <v>19000</v>
      </c>
      <c r="G48">
        <f>Medias[[#This Row],[GPR]]/Medias[[#This Row],[Prix]]</f>
        <v>3.410526315789474E-4</v>
      </c>
    </row>
    <row r="49" spans="1:7" hidden="1">
      <c r="A49" t="s">
        <v>233</v>
      </c>
      <c r="B49" t="s">
        <v>205</v>
      </c>
      <c r="C49" t="s">
        <v>220</v>
      </c>
      <c r="D49" t="s">
        <v>221</v>
      </c>
      <c r="E49">
        <v>7.5</v>
      </c>
      <c r="F49">
        <v>22000</v>
      </c>
      <c r="G49">
        <f>Medias[[#This Row],[GPR]]/Medias[[#This Row],[Prix]]</f>
        <v>3.4090909090909094E-4</v>
      </c>
    </row>
    <row r="50" spans="1:7" hidden="1">
      <c r="A50" t="s">
        <v>233</v>
      </c>
      <c r="B50" t="s">
        <v>205</v>
      </c>
      <c r="C50" t="s">
        <v>220</v>
      </c>
      <c r="D50" t="s">
        <v>222</v>
      </c>
      <c r="E50">
        <v>6.75</v>
      </c>
      <c r="F50">
        <v>20000</v>
      </c>
      <c r="G50">
        <f>Medias[[#This Row],[GPR]]/Medias[[#This Row],[Prix]]</f>
        <v>3.3750000000000002E-4</v>
      </c>
    </row>
    <row r="51" spans="1:7" hidden="1">
      <c r="A51" t="s">
        <v>233</v>
      </c>
      <c r="B51" s="3" t="s">
        <v>208</v>
      </c>
      <c r="C51" t="s">
        <v>223</v>
      </c>
      <c r="D51" t="s">
        <v>229</v>
      </c>
      <c r="E51">
        <v>12.2</v>
      </c>
      <c r="F51">
        <v>39000</v>
      </c>
      <c r="G51">
        <f>Medias[[#This Row],[GPR]]/Medias[[#This Row],[Prix]]</f>
        <v>3.1282051282051278E-4</v>
      </c>
    </row>
    <row r="52" spans="1:7" hidden="1">
      <c r="A52" t="s">
        <v>233</v>
      </c>
      <c r="B52" t="s">
        <v>197</v>
      </c>
      <c r="C52" t="s">
        <v>198</v>
      </c>
      <c r="D52" t="s">
        <v>204</v>
      </c>
      <c r="E52">
        <v>4.9400000000000004</v>
      </c>
      <c r="F52">
        <v>15800</v>
      </c>
      <c r="G52">
        <f>Medias[[#This Row],[GPR]]/Medias[[#This Row],[Prix]]</f>
        <v>3.1265822784810128E-4</v>
      </c>
    </row>
    <row r="53" spans="1:7" hidden="1">
      <c r="A53" t="s">
        <v>233</v>
      </c>
      <c r="B53" s="3" t="s">
        <v>208</v>
      </c>
      <c r="C53" t="s">
        <v>223</v>
      </c>
      <c r="D53" t="s">
        <v>231</v>
      </c>
      <c r="E53">
        <v>11.71</v>
      </c>
      <c r="F53">
        <v>41000</v>
      </c>
      <c r="G53">
        <f>Medias[[#This Row],[GPR]]/Medias[[#This Row],[Prix]]</f>
        <v>2.8560975609756101E-4</v>
      </c>
    </row>
    <row r="54" spans="1:7" hidden="1">
      <c r="A54" t="s">
        <v>233</v>
      </c>
      <c r="B54" t="s">
        <v>205</v>
      </c>
      <c r="C54" t="s">
        <v>220</v>
      </c>
      <c r="D54" t="s">
        <v>232</v>
      </c>
      <c r="E54">
        <v>6.75</v>
      </c>
      <c r="F54">
        <v>27000</v>
      </c>
      <c r="G54">
        <f>Medias[[#This Row],[GPR]]/Medias[[#This Row],[Prix]]</f>
        <v>2.5000000000000001E-4</v>
      </c>
    </row>
    <row r="55" spans="1:7" hidden="1">
      <c r="A55" t="s">
        <v>233</v>
      </c>
      <c r="B55" t="s">
        <v>197</v>
      </c>
      <c r="C55" t="s">
        <v>198</v>
      </c>
      <c r="D55" t="s">
        <v>226</v>
      </c>
      <c r="E55">
        <v>5.2</v>
      </c>
      <c r="F55">
        <v>23700</v>
      </c>
      <c r="G55">
        <f>Medias[[#This Row],[GPR]]/Medias[[#This Row],[Prix]]</f>
        <v>2.1940928270042194E-4</v>
      </c>
    </row>
    <row r="56" spans="1:7" hidden="1">
      <c r="A56" t="s">
        <v>234</v>
      </c>
      <c r="B56" t="s">
        <v>197</v>
      </c>
      <c r="C56" t="s">
        <v>198</v>
      </c>
      <c r="D56" t="s">
        <v>199</v>
      </c>
      <c r="E56">
        <v>8.5500000000000007</v>
      </c>
      <c r="F56">
        <v>7900</v>
      </c>
      <c r="G56">
        <f>Medias[[#This Row],[GPR]]/Medias[[#This Row],[Prix]]</f>
        <v>1.0822784810126584E-3</v>
      </c>
    </row>
    <row r="57" spans="1:7" hidden="1">
      <c r="A57" t="s">
        <v>234</v>
      </c>
      <c r="B57" t="s">
        <v>197</v>
      </c>
      <c r="C57" t="s">
        <v>200</v>
      </c>
      <c r="D57" t="s">
        <v>201</v>
      </c>
      <c r="E57">
        <v>9.09</v>
      </c>
      <c r="F57">
        <v>9000</v>
      </c>
      <c r="G57">
        <f>Medias[[#This Row],[GPR]]/Medias[[#This Row],[Prix]]</f>
        <v>1.01E-3</v>
      </c>
    </row>
    <row r="58" spans="1:7" hidden="1">
      <c r="A58" t="s">
        <v>234</v>
      </c>
      <c r="B58" t="s">
        <v>197</v>
      </c>
      <c r="C58" t="s">
        <v>202</v>
      </c>
      <c r="D58" t="s">
        <v>201</v>
      </c>
      <c r="E58">
        <v>7.47</v>
      </c>
      <c r="F58">
        <v>8000</v>
      </c>
      <c r="G58">
        <f>Medias[[#This Row],[GPR]]/Medias[[#This Row],[Prix]]</f>
        <v>9.3375000000000001E-4</v>
      </c>
    </row>
    <row r="59" spans="1:7" hidden="1">
      <c r="A59" t="s">
        <v>234</v>
      </c>
      <c r="B59" t="s">
        <v>205</v>
      </c>
      <c r="C59" t="s">
        <v>206</v>
      </c>
      <c r="D59" t="s">
        <v>207</v>
      </c>
      <c r="E59">
        <v>16.8</v>
      </c>
      <c r="F59">
        <v>24800</v>
      </c>
      <c r="G59">
        <f>Medias[[#This Row],[GPR]]/Medias[[#This Row],[Prix]]</f>
        <v>6.774193548387097E-4</v>
      </c>
    </row>
    <row r="60" spans="1:7" hidden="1">
      <c r="A60" t="s">
        <v>234</v>
      </c>
      <c r="B60" t="s">
        <v>197</v>
      </c>
      <c r="C60" t="s">
        <v>202</v>
      </c>
      <c r="D60" t="s">
        <v>203</v>
      </c>
      <c r="E60">
        <v>8.3000000000000007</v>
      </c>
      <c r="F60">
        <v>12500</v>
      </c>
      <c r="G60">
        <f>Medias[[#This Row],[GPR]]/Medias[[#This Row],[Prix]]</f>
        <v>6.6400000000000009E-4</v>
      </c>
    </row>
    <row r="61" spans="1:7" hidden="1">
      <c r="A61" t="s">
        <v>234</v>
      </c>
      <c r="B61" t="s">
        <v>205</v>
      </c>
      <c r="C61" t="s">
        <v>206</v>
      </c>
      <c r="D61" t="s">
        <v>214</v>
      </c>
      <c r="E61">
        <v>13.44</v>
      </c>
      <c r="F61">
        <v>22000</v>
      </c>
      <c r="G61">
        <f>Medias[[#This Row],[GPR]]/Medias[[#This Row],[Prix]]</f>
        <v>6.1090909090909089E-4</v>
      </c>
    </row>
    <row r="62" spans="1:7" hidden="1">
      <c r="A62" t="s">
        <v>234</v>
      </c>
      <c r="B62" t="s">
        <v>205</v>
      </c>
      <c r="C62" t="s">
        <v>206</v>
      </c>
      <c r="D62" t="s">
        <v>219</v>
      </c>
      <c r="E62">
        <v>15.96</v>
      </c>
      <c r="F62">
        <v>27300</v>
      </c>
      <c r="G62">
        <f>Medias[[#This Row],[GPR]]/Medias[[#This Row],[Prix]]</f>
        <v>5.846153846153846E-4</v>
      </c>
    </row>
    <row r="63" spans="1:7" hidden="1">
      <c r="A63" t="s">
        <v>234</v>
      </c>
      <c r="B63" s="3" t="s">
        <v>208</v>
      </c>
      <c r="C63" t="s">
        <v>223</v>
      </c>
      <c r="D63" t="s">
        <v>224</v>
      </c>
      <c r="E63">
        <v>18.03</v>
      </c>
      <c r="F63">
        <v>31200</v>
      </c>
      <c r="G63">
        <f>Medias[[#This Row],[GPR]]/Medias[[#This Row],[Prix]]</f>
        <v>5.7788461538461542E-4</v>
      </c>
    </row>
    <row r="64" spans="1:7" hidden="1">
      <c r="A64" t="s">
        <v>234</v>
      </c>
      <c r="B64" t="s">
        <v>197</v>
      </c>
      <c r="C64" t="s">
        <v>198</v>
      </c>
      <c r="D64" t="s">
        <v>204</v>
      </c>
      <c r="E64">
        <v>9.0299999999999994</v>
      </c>
      <c r="F64">
        <v>15800</v>
      </c>
      <c r="G64">
        <f>Medias[[#This Row],[GPR]]/Medias[[#This Row],[Prix]]</f>
        <v>5.7151898734177206E-4</v>
      </c>
    </row>
    <row r="65" spans="1:7" hidden="1">
      <c r="A65" t="s">
        <v>234</v>
      </c>
      <c r="B65" t="s">
        <v>197</v>
      </c>
      <c r="C65" t="s">
        <v>200</v>
      </c>
      <c r="D65" t="s">
        <v>199</v>
      </c>
      <c r="E65">
        <v>9.59</v>
      </c>
      <c r="F65">
        <v>17000</v>
      </c>
      <c r="G65">
        <f>Medias[[#This Row],[GPR]]/Medias[[#This Row],[Prix]]</f>
        <v>5.6411764705882356E-4</v>
      </c>
    </row>
    <row r="66" spans="1:7" hidden="1">
      <c r="A66" t="s">
        <v>234</v>
      </c>
      <c r="B66" s="3" t="s">
        <v>208</v>
      </c>
      <c r="C66" s="3" t="s">
        <v>217</v>
      </c>
      <c r="D66" s="3" t="s">
        <v>218</v>
      </c>
      <c r="E66">
        <v>17.7</v>
      </c>
      <c r="F66">
        <v>33000</v>
      </c>
      <c r="G66">
        <f>Medias[[#This Row],[GPR]]/Medias[[#This Row],[Prix]]</f>
        <v>5.3636363636363636E-4</v>
      </c>
    </row>
    <row r="67" spans="1:7" hidden="1">
      <c r="A67" t="s">
        <v>234</v>
      </c>
      <c r="B67" s="3" t="s">
        <v>208</v>
      </c>
      <c r="C67" t="s">
        <v>223</v>
      </c>
      <c r="D67" t="s">
        <v>229</v>
      </c>
      <c r="E67">
        <v>19.600000000000001</v>
      </c>
      <c r="F67">
        <v>39000</v>
      </c>
      <c r="G67">
        <f>Medias[[#This Row],[GPR]]/Medias[[#This Row],[Prix]]</f>
        <v>5.0256410256410255E-4</v>
      </c>
    </row>
    <row r="68" spans="1:7" hidden="1">
      <c r="A68" t="s">
        <v>234</v>
      </c>
      <c r="B68" s="3" t="s">
        <v>208</v>
      </c>
      <c r="C68" s="3" t="s">
        <v>217</v>
      </c>
      <c r="D68" t="s">
        <v>225</v>
      </c>
      <c r="E68">
        <v>17.7</v>
      </c>
      <c r="F68">
        <v>35800</v>
      </c>
      <c r="G68">
        <f>Medias[[#This Row],[GPR]]/Medias[[#This Row],[Prix]]</f>
        <v>4.9441340782122901E-4</v>
      </c>
    </row>
    <row r="69" spans="1:7" hidden="1">
      <c r="A69" t="s">
        <v>234</v>
      </c>
      <c r="B69" s="3" t="s">
        <v>208</v>
      </c>
      <c r="C69" t="s">
        <v>209</v>
      </c>
      <c r="D69" t="s">
        <v>210</v>
      </c>
      <c r="E69">
        <v>14.3</v>
      </c>
      <c r="F69">
        <v>29000</v>
      </c>
      <c r="G69">
        <f>Medias[[#This Row],[GPR]]/Medias[[#This Row],[Prix]]</f>
        <v>4.9310344827586212E-4</v>
      </c>
    </row>
    <row r="70" spans="1:7" hidden="1">
      <c r="A70" t="s">
        <v>234</v>
      </c>
      <c r="B70" s="3" t="s">
        <v>208</v>
      </c>
      <c r="C70" s="3" t="s">
        <v>217</v>
      </c>
      <c r="D70" t="s">
        <v>227</v>
      </c>
      <c r="E70">
        <v>17.7</v>
      </c>
      <c r="F70">
        <v>37000</v>
      </c>
      <c r="G70">
        <f>Medias[[#This Row],[GPR]]/Medias[[#This Row],[Prix]]</f>
        <v>4.7837837837837833E-4</v>
      </c>
    </row>
    <row r="71" spans="1:7" hidden="1">
      <c r="A71" t="s">
        <v>234</v>
      </c>
      <c r="B71" s="3" t="s">
        <v>208</v>
      </c>
      <c r="C71" t="s">
        <v>209</v>
      </c>
      <c r="D71" t="s">
        <v>211</v>
      </c>
      <c r="E71">
        <v>12.87</v>
      </c>
      <c r="F71">
        <v>27000</v>
      </c>
      <c r="G71">
        <f>Medias[[#This Row],[GPR]]/Medias[[#This Row],[Prix]]</f>
        <v>4.7666666666666663E-4</v>
      </c>
    </row>
    <row r="72" spans="1:7" hidden="1">
      <c r="A72" t="s">
        <v>234</v>
      </c>
      <c r="B72" t="s">
        <v>205</v>
      </c>
      <c r="C72" t="s">
        <v>212</v>
      </c>
      <c r="D72" t="s">
        <v>213</v>
      </c>
      <c r="E72">
        <v>10.9</v>
      </c>
      <c r="F72">
        <v>23000</v>
      </c>
      <c r="G72">
        <f>Medias[[#This Row],[GPR]]/Medias[[#This Row],[Prix]]</f>
        <v>4.7391304347826088E-4</v>
      </c>
    </row>
    <row r="73" spans="1:7" hidden="1">
      <c r="A73" t="s">
        <v>234</v>
      </c>
      <c r="B73" t="s">
        <v>205</v>
      </c>
      <c r="C73" t="s">
        <v>212</v>
      </c>
      <c r="D73" t="s">
        <v>215</v>
      </c>
      <c r="E73">
        <v>10.9</v>
      </c>
      <c r="F73">
        <v>23500</v>
      </c>
      <c r="G73">
        <f>Medias[[#This Row],[GPR]]/Medias[[#This Row],[Prix]]</f>
        <v>4.6382978723404257E-4</v>
      </c>
    </row>
    <row r="74" spans="1:7" hidden="1">
      <c r="A74" t="s">
        <v>234</v>
      </c>
      <c r="B74" s="3" t="s">
        <v>208</v>
      </c>
      <c r="C74" t="s">
        <v>223</v>
      </c>
      <c r="D74" t="s">
        <v>231</v>
      </c>
      <c r="E74">
        <v>18.82</v>
      </c>
      <c r="F74">
        <v>41000</v>
      </c>
      <c r="G74">
        <f>Medias[[#This Row],[GPR]]/Medias[[#This Row],[Prix]]</f>
        <v>4.5902439024390245E-4</v>
      </c>
    </row>
    <row r="75" spans="1:7" hidden="1">
      <c r="A75" t="s">
        <v>234</v>
      </c>
      <c r="B75" t="s">
        <v>205</v>
      </c>
      <c r="C75" t="s">
        <v>220</v>
      </c>
      <c r="D75" t="s">
        <v>221</v>
      </c>
      <c r="E75">
        <v>10</v>
      </c>
      <c r="F75">
        <v>22000</v>
      </c>
      <c r="G75">
        <f>Medias[[#This Row],[GPR]]/Medias[[#This Row],[Prix]]</f>
        <v>4.5454545454545455E-4</v>
      </c>
    </row>
    <row r="76" spans="1:7" hidden="1">
      <c r="A76" t="s">
        <v>234</v>
      </c>
      <c r="B76" t="s">
        <v>205</v>
      </c>
      <c r="C76" t="s">
        <v>212</v>
      </c>
      <c r="D76" t="s">
        <v>216</v>
      </c>
      <c r="E76">
        <v>10.9</v>
      </c>
      <c r="F76">
        <v>24000</v>
      </c>
      <c r="G76">
        <f>Medias[[#This Row],[GPR]]/Medias[[#This Row],[Prix]]</f>
        <v>4.5416666666666668E-4</v>
      </c>
    </row>
    <row r="77" spans="1:7" hidden="1">
      <c r="A77" t="s">
        <v>234</v>
      </c>
      <c r="B77" t="s">
        <v>205</v>
      </c>
      <c r="C77" t="s">
        <v>220</v>
      </c>
      <c r="D77" t="s">
        <v>222</v>
      </c>
      <c r="E77">
        <v>9</v>
      </c>
      <c r="F77">
        <v>20000</v>
      </c>
      <c r="G77">
        <f>Medias[[#This Row],[GPR]]/Medias[[#This Row],[Prix]]</f>
        <v>4.4999999999999999E-4</v>
      </c>
    </row>
    <row r="78" spans="1:7" hidden="1">
      <c r="A78" t="s">
        <v>234</v>
      </c>
      <c r="B78" s="3" t="s">
        <v>208</v>
      </c>
      <c r="C78" t="s">
        <v>209</v>
      </c>
      <c r="D78" t="s">
        <v>219</v>
      </c>
      <c r="E78">
        <v>13.59</v>
      </c>
      <c r="F78">
        <v>31000</v>
      </c>
      <c r="G78">
        <f>Medias[[#This Row],[GPR]]/Medias[[#This Row],[Prix]]</f>
        <v>4.3838709677419352E-4</v>
      </c>
    </row>
    <row r="79" spans="1:7" hidden="1">
      <c r="A79" t="s">
        <v>234</v>
      </c>
      <c r="B79" t="s">
        <v>197</v>
      </c>
      <c r="C79" t="s">
        <v>198</v>
      </c>
      <c r="D79" t="s">
        <v>226</v>
      </c>
      <c r="E79">
        <v>9.5</v>
      </c>
      <c r="F79">
        <v>23700</v>
      </c>
      <c r="G79">
        <f>Medias[[#This Row],[GPR]]/Medias[[#This Row],[Prix]]</f>
        <v>4.0084388185654006E-4</v>
      </c>
    </row>
    <row r="80" spans="1:7" hidden="1">
      <c r="A80" t="s">
        <v>234</v>
      </c>
      <c r="B80" t="s">
        <v>197</v>
      </c>
      <c r="C80" t="s">
        <v>202</v>
      </c>
      <c r="D80" t="s">
        <v>228</v>
      </c>
      <c r="E80">
        <v>7.47</v>
      </c>
      <c r="F80">
        <v>19000</v>
      </c>
      <c r="G80">
        <f>Medias[[#This Row],[GPR]]/Medias[[#This Row],[Prix]]</f>
        <v>3.9315789473684212E-4</v>
      </c>
    </row>
    <row r="81" spans="1:7" hidden="1">
      <c r="A81" t="s">
        <v>234</v>
      </c>
      <c r="B81" t="s">
        <v>197</v>
      </c>
      <c r="C81" t="s">
        <v>200</v>
      </c>
      <c r="D81" t="s">
        <v>230</v>
      </c>
      <c r="E81">
        <v>10.1</v>
      </c>
      <c r="F81">
        <v>26750</v>
      </c>
      <c r="G81">
        <f>Medias[[#This Row],[GPR]]/Medias[[#This Row],[Prix]]</f>
        <v>3.7757009345794389E-4</v>
      </c>
    </row>
    <row r="82" spans="1:7" hidden="1">
      <c r="A82" t="s">
        <v>234</v>
      </c>
      <c r="B82" t="s">
        <v>205</v>
      </c>
      <c r="C82" t="s">
        <v>220</v>
      </c>
      <c r="D82" t="s">
        <v>232</v>
      </c>
      <c r="E82">
        <v>9</v>
      </c>
      <c r="F82">
        <v>27000</v>
      </c>
      <c r="G82">
        <f>Medias[[#This Row],[GPR]]/Medias[[#This Row],[Prix]]</f>
        <v>3.3333333333333332E-4</v>
      </c>
    </row>
    <row r="83" spans="1:7">
      <c r="A83" t="s">
        <v>109</v>
      </c>
      <c r="B83" t="s">
        <v>197</v>
      </c>
      <c r="C83" t="s">
        <v>200</v>
      </c>
      <c r="D83" t="s">
        <v>201</v>
      </c>
      <c r="E83">
        <v>8.19</v>
      </c>
      <c r="F83">
        <v>9000</v>
      </c>
      <c r="G83">
        <f>Medias[[#This Row],[GPR]]/Medias[[#This Row],[Prix]]</f>
        <v>9.0999999999999989E-4</v>
      </c>
    </row>
    <row r="84" spans="1:7">
      <c r="A84" t="s">
        <v>109</v>
      </c>
      <c r="B84" t="s">
        <v>197</v>
      </c>
      <c r="C84" t="s">
        <v>202</v>
      </c>
      <c r="D84" t="s">
        <v>201</v>
      </c>
      <c r="E84">
        <v>6.39</v>
      </c>
      <c r="F84">
        <v>8000</v>
      </c>
      <c r="G84">
        <f>Medias[[#This Row],[GPR]]/Medias[[#This Row],[Prix]]</f>
        <v>7.9874999999999998E-4</v>
      </c>
    </row>
    <row r="85" spans="1:7">
      <c r="A85" t="s">
        <v>109</v>
      </c>
      <c r="B85" t="s">
        <v>197</v>
      </c>
      <c r="C85" t="s">
        <v>202</v>
      </c>
      <c r="D85" t="s">
        <v>203</v>
      </c>
      <c r="E85">
        <v>7.1</v>
      </c>
      <c r="F85">
        <v>12500</v>
      </c>
      <c r="G85">
        <f>Medias[[#This Row],[GPR]]/Medias[[#This Row],[Prix]]</f>
        <v>5.6799999999999993E-4</v>
      </c>
    </row>
    <row r="86" spans="1:7">
      <c r="A86" t="s">
        <v>109</v>
      </c>
      <c r="B86" s="3" t="s">
        <v>208</v>
      </c>
      <c r="C86" t="s">
        <v>223</v>
      </c>
      <c r="D86" t="s">
        <v>224</v>
      </c>
      <c r="E86">
        <v>16.649999999999999</v>
      </c>
      <c r="F86">
        <v>31200</v>
      </c>
      <c r="G86">
        <f>Medias[[#This Row],[GPR]]/Medias[[#This Row],[Prix]]</f>
        <v>5.3365384615384614E-4</v>
      </c>
    </row>
    <row r="87" spans="1:7">
      <c r="A87" t="s">
        <v>109</v>
      </c>
      <c r="B87" t="s">
        <v>197</v>
      </c>
      <c r="C87" t="s">
        <v>200</v>
      </c>
      <c r="D87" t="s">
        <v>199</v>
      </c>
      <c r="E87">
        <v>8.64</v>
      </c>
      <c r="F87">
        <v>17000</v>
      </c>
      <c r="G87">
        <f>Medias[[#This Row],[GPR]]/Medias[[#This Row],[Prix]]</f>
        <v>5.0823529411764712E-4</v>
      </c>
    </row>
    <row r="88" spans="1:7">
      <c r="A88" t="s">
        <v>109</v>
      </c>
      <c r="B88" t="s">
        <v>197</v>
      </c>
      <c r="C88" t="s">
        <v>198</v>
      </c>
      <c r="D88" t="s">
        <v>199</v>
      </c>
      <c r="E88">
        <v>3.87</v>
      </c>
      <c r="F88">
        <v>7900</v>
      </c>
      <c r="G88">
        <f>Medias[[#This Row],[GPR]]/Medias[[#This Row],[Prix]]</f>
        <v>4.8987341772151899E-4</v>
      </c>
    </row>
    <row r="89" spans="1:7">
      <c r="A89" t="s">
        <v>109</v>
      </c>
      <c r="B89" s="3" t="s">
        <v>208</v>
      </c>
      <c r="C89" t="s">
        <v>223</v>
      </c>
      <c r="D89" t="s">
        <v>229</v>
      </c>
      <c r="E89">
        <v>18.100000000000001</v>
      </c>
      <c r="F89">
        <v>39000</v>
      </c>
      <c r="G89">
        <f>Medias[[#This Row],[GPR]]/Medias[[#This Row],[Prix]]</f>
        <v>4.6410256410256412E-4</v>
      </c>
    </row>
    <row r="90" spans="1:7">
      <c r="A90" t="s">
        <v>109</v>
      </c>
      <c r="B90" t="s">
        <v>205</v>
      </c>
      <c r="C90" t="s">
        <v>212</v>
      </c>
      <c r="D90" t="s">
        <v>213</v>
      </c>
      <c r="E90">
        <v>10.6</v>
      </c>
      <c r="F90">
        <v>23000</v>
      </c>
      <c r="G90">
        <f>Medias[[#This Row],[GPR]]/Medias[[#This Row],[Prix]]</f>
        <v>4.6086956521739126E-4</v>
      </c>
    </row>
    <row r="91" spans="1:7">
      <c r="A91" t="s">
        <v>109</v>
      </c>
      <c r="B91" t="s">
        <v>205</v>
      </c>
      <c r="C91" t="s">
        <v>206</v>
      </c>
      <c r="D91" t="s">
        <v>207</v>
      </c>
      <c r="E91">
        <v>11.4</v>
      </c>
      <c r="F91">
        <v>24800</v>
      </c>
      <c r="G91">
        <f>Medias[[#This Row],[GPR]]/Medias[[#This Row],[Prix]]</f>
        <v>4.5967741935483875E-4</v>
      </c>
    </row>
    <row r="92" spans="1:7">
      <c r="A92" t="s">
        <v>109</v>
      </c>
      <c r="B92" t="s">
        <v>205</v>
      </c>
      <c r="C92" t="s">
        <v>212</v>
      </c>
      <c r="D92" t="s">
        <v>215</v>
      </c>
      <c r="E92">
        <v>10.6</v>
      </c>
      <c r="F92">
        <v>23500</v>
      </c>
      <c r="G92">
        <f>Medias[[#This Row],[GPR]]/Medias[[#This Row],[Prix]]</f>
        <v>4.5106382978723402E-4</v>
      </c>
    </row>
    <row r="93" spans="1:7">
      <c r="A93" t="s">
        <v>109</v>
      </c>
      <c r="B93" t="s">
        <v>205</v>
      </c>
      <c r="C93" t="s">
        <v>212</v>
      </c>
      <c r="D93" t="s">
        <v>216</v>
      </c>
      <c r="E93">
        <v>10.6</v>
      </c>
      <c r="F93">
        <v>24000</v>
      </c>
      <c r="G93">
        <f>Medias[[#This Row],[GPR]]/Medias[[#This Row],[Prix]]</f>
        <v>4.4166666666666665E-4</v>
      </c>
    </row>
    <row r="94" spans="1:7">
      <c r="A94" t="s">
        <v>109</v>
      </c>
      <c r="B94" s="3" t="s">
        <v>208</v>
      </c>
      <c r="C94" t="s">
        <v>209</v>
      </c>
      <c r="D94" t="s">
        <v>210</v>
      </c>
      <c r="E94">
        <v>12.7</v>
      </c>
      <c r="F94">
        <v>29000</v>
      </c>
      <c r="G94">
        <f>Medias[[#This Row],[GPR]]/Medias[[#This Row],[Prix]]</f>
        <v>4.3793103448275857E-4</v>
      </c>
    </row>
    <row r="95" spans="1:7">
      <c r="A95" t="s">
        <v>109</v>
      </c>
      <c r="B95" s="3" t="s">
        <v>208</v>
      </c>
      <c r="C95" t="s">
        <v>223</v>
      </c>
      <c r="D95" t="s">
        <v>231</v>
      </c>
      <c r="E95">
        <v>17.38</v>
      </c>
      <c r="F95">
        <v>41000</v>
      </c>
      <c r="G95">
        <f>Medias[[#This Row],[GPR]]/Medias[[#This Row],[Prix]]</f>
        <v>4.2390243902439023E-4</v>
      </c>
    </row>
    <row r="96" spans="1:7">
      <c r="A96" t="s">
        <v>109</v>
      </c>
      <c r="B96" s="3" t="s">
        <v>208</v>
      </c>
      <c r="C96" t="s">
        <v>209</v>
      </c>
      <c r="D96" t="s">
        <v>211</v>
      </c>
      <c r="E96">
        <v>11.43</v>
      </c>
      <c r="F96">
        <v>27000</v>
      </c>
      <c r="G96">
        <f>Medias[[#This Row],[GPR]]/Medias[[#This Row],[Prix]]</f>
        <v>4.2333333333333334E-4</v>
      </c>
    </row>
    <row r="97" spans="1:9">
      <c r="A97" t="s">
        <v>109</v>
      </c>
      <c r="B97" t="s">
        <v>205</v>
      </c>
      <c r="C97" t="s">
        <v>206</v>
      </c>
      <c r="D97" t="s">
        <v>214</v>
      </c>
      <c r="E97">
        <v>9.1199999999999992</v>
      </c>
      <c r="F97">
        <v>22000</v>
      </c>
      <c r="G97">
        <f>Medias[[#This Row],[GPR]]/Medias[[#This Row],[Prix]]</f>
        <v>4.1454545454545449E-4</v>
      </c>
    </row>
    <row r="98" spans="1:9">
      <c r="A98" t="s">
        <v>109</v>
      </c>
      <c r="B98" t="s">
        <v>205</v>
      </c>
      <c r="C98" t="s">
        <v>206</v>
      </c>
      <c r="D98" t="s">
        <v>219</v>
      </c>
      <c r="E98">
        <v>10.83</v>
      </c>
      <c r="F98">
        <v>27300</v>
      </c>
      <c r="G98">
        <f>Medias[[#This Row],[GPR]]/Medias[[#This Row],[Prix]]</f>
        <v>3.9670329670329668E-4</v>
      </c>
    </row>
    <row r="99" spans="1:9">
      <c r="A99" t="s">
        <v>109</v>
      </c>
      <c r="B99" s="3" t="s">
        <v>208</v>
      </c>
      <c r="C99" t="s">
        <v>209</v>
      </c>
      <c r="D99" t="s">
        <v>219</v>
      </c>
      <c r="E99">
        <v>12.06</v>
      </c>
      <c r="F99">
        <v>31000</v>
      </c>
      <c r="G99">
        <f>Medias[[#This Row],[GPR]]/Medias[[#This Row],[Prix]]</f>
        <v>3.8903225806451614E-4</v>
      </c>
    </row>
    <row r="100" spans="1:9">
      <c r="A100" t="s">
        <v>109</v>
      </c>
      <c r="B100" t="s">
        <v>205</v>
      </c>
      <c r="C100" t="s">
        <v>220</v>
      </c>
      <c r="D100" t="s">
        <v>221</v>
      </c>
      <c r="E100">
        <v>8.4</v>
      </c>
      <c r="F100">
        <v>22000</v>
      </c>
      <c r="G100">
        <f>Medias[[#This Row],[GPR]]/Medias[[#This Row],[Prix]]</f>
        <v>3.8181818181818184E-4</v>
      </c>
    </row>
    <row r="101" spans="1:9">
      <c r="A101" t="s">
        <v>109</v>
      </c>
      <c r="B101" t="s">
        <v>205</v>
      </c>
      <c r="C101" t="s">
        <v>220</v>
      </c>
      <c r="D101" t="s">
        <v>222</v>
      </c>
      <c r="E101">
        <v>7.56</v>
      </c>
      <c r="F101">
        <v>20000</v>
      </c>
      <c r="G101">
        <f>Medias[[#This Row],[GPR]]/Medias[[#This Row],[Prix]]</f>
        <v>3.7799999999999997E-4</v>
      </c>
    </row>
    <row r="102" spans="1:9">
      <c r="A102" t="s">
        <v>109</v>
      </c>
      <c r="B102" s="3" t="s">
        <v>208</v>
      </c>
      <c r="C102" s="3" t="s">
        <v>217</v>
      </c>
      <c r="D102" s="3" t="s">
        <v>218</v>
      </c>
      <c r="E102">
        <v>12.1</v>
      </c>
      <c r="F102">
        <v>33000</v>
      </c>
      <c r="G102">
        <f>Medias[[#This Row],[GPR]]/Medias[[#This Row],[Prix]]</f>
        <v>3.6666666666666667E-4</v>
      </c>
    </row>
    <row r="103" spans="1:9">
      <c r="A103" t="s">
        <v>109</v>
      </c>
      <c r="B103" t="s">
        <v>197</v>
      </c>
      <c r="C103" t="s">
        <v>200</v>
      </c>
      <c r="D103" t="s">
        <v>230</v>
      </c>
      <c r="E103">
        <v>9.1</v>
      </c>
      <c r="F103">
        <v>26750</v>
      </c>
      <c r="G103">
        <f>Medias[[#This Row],[GPR]]/Medias[[#This Row],[Prix]]</f>
        <v>3.4018691588785045E-4</v>
      </c>
    </row>
    <row r="104" spans="1:9">
      <c r="A104" t="s">
        <v>109</v>
      </c>
      <c r="B104" s="3" t="s">
        <v>208</v>
      </c>
      <c r="C104" s="3" t="s">
        <v>217</v>
      </c>
      <c r="D104" t="s">
        <v>225</v>
      </c>
      <c r="E104">
        <v>12.1</v>
      </c>
      <c r="F104">
        <v>35800</v>
      </c>
      <c r="G104">
        <f>Medias[[#This Row],[GPR]]/Medias[[#This Row],[Prix]]</f>
        <v>3.3798882681564243E-4</v>
      </c>
    </row>
    <row r="105" spans="1:9">
      <c r="A105" t="s">
        <v>109</v>
      </c>
      <c r="B105" t="s">
        <v>197</v>
      </c>
      <c r="C105" t="s">
        <v>202</v>
      </c>
      <c r="D105" t="s">
        <v>228</v>
      </c>
      <c r="E105">
        <v>6.39</v>
      </c>
      <c r="F105">
        <v>19000</v>
      </c>
      <c r="G105">
        <f>Medias[[#This Row],[GPR]]/Medias[[#This Row],[Prix]]</f>
        <v>3.3631578947368419E-4</v>
      </c>
    </row>
    <row r="106" spans="1:9">
      <c r="A106" t="s">
        <v>109</v>
      </c>
      <c r="B106" s="3" t="s">
        <v>208</v>
      </c>
      <c r="C106" s="3" t="s">
        <v>217</v>
      </c>
      <c r="D106" t="s">
        <v>227</v>
      </c>
      <c r="E106">
        <v>12.1</v>
      </c>
      <c r="F106">
        <v>37000</v>
      </c>
      <c r="G106">
        <f>Medias[[#This Row],[GPR]]/Medias[[#This Row],[Prix]]</f>
        <v>3.2702702702702702E-4</v>
      </c>
    </row>
    <row r="107" spans="1:9">
      <c r="A107" t="s">
        <v>109</v>
      </c>
      <c r="B107" t="s">
        <v>205</v>
      </c>
      <c r="C107" t="s">
        <v>220</v>
      </c>
      <c r="D107" t="s">
        <v>232</v>
      </c>
      <c r="E107">
        <v>7.56</v>
      </c>
      <c r="F107">
        <v>27000</v>
      </c>
      <c r="G107">
        <f>Medias[[#This Row],[GPR]]/Medias[[#This Row],[Prix]]</f>
        <v>2.7999999999999998E-4</v>
      </c>
    </row>
    <row r="108" spans="1:9">
      <c r="A108" t="s">
        <v>109</v>
      </c>
      <c r="B108" t="s">
        <v>197</v>
      </c>
      <c r="C108" t="s">
        <v>198</v>
      </c>
      <c r="D108" t="s">
        <v>204</v>
      </c>
      <c r="E108">
        <v>4.08</v>
      </c>
      <c r="F108">
        <v>15800</v>
      </c>
      <c r="G108">
        <f>Medias[[#This Row],[GPR]]/Medias[[#This Row],[Prix]]</f>
        <v>2.5822784810126584E-4</v>
      </c>
    </row>
    <row r="109" spans="1:9">
      <c r="A109" t="s">
        <v>109</v>
      </c>
      <c r="B109" t="s">
        <v>197</v>
      </c>
      <c r="C109" t="s">
        <v>198</v>
      </c>
      <c r="D109" t="s">
        <v>226</v>
      </c>
      <c r="E109">
        <v>4.3</v>
      </c>
      <c r="F109">
        <v>23700</v>
      </c>
      <c r="G109">
        <f>Medias[[#This Row],[GPR]]/Medias[[#This Row],[Prix]]</f>
        <v>1.8143459915611812E-4</v>
      </c>
    </row>
    <row r="110" spans="1:9" hidden="1">
      <c r="A110" t="s">
        <v>107</v>
      </c>
      <c r="B110" t="s">
        <v>197</v>
      </c>
      <c r="C110" t="s">
        <v>202</v>
      </c>
      <c r="D110" t="s">
        <v>201</v>
      </c>
      <c r="E110">
        <v>9.36</v>
      </c>
      <c r="F110">
        <v>8000</v>
      </c>
      <c r="G110">
        <f>Medias[[#This Row],[GPR]]/Medias[[#This Row],[Prix]]</f>
        <v>1.17E-3</v>
      </c>
      <c r="I110">
        <v>2</v>
      </c>
    </row>
    <row r="111" spans="1:9" hidden="1">
      <c r="A111" t="s">
        <v>107</v>
      </c>
      <c r="B111" t="s">
        <v>197</v>
      </c>
      <c r="C111" t="s">
        <v>198</v>
      </c>
      <c r="D111" t="s">
        <v>199</v>
      </c>
      <c r="E111">
        <v>7.29</v>
      </c>
      <c r="F111">
        <v>7900</v>
      </c>
      <c r="G111">
        <f>Medias[[#This Row],[GPR]]/Medias[[#This Row],[Prix]]</f>
        <v>9.2278481012658231E-4</v>
      </c>
    </row>
    <row r="112" spans="1:9" hidden="1">
      <c r="A112" t="s">
        <v>107</v>
      </c>
      <c r="B112" t="s">
        <v>197</v>
      </c>
      <c r="C112" t="s">
        <v>202</v>
      </c>
      <c r="D112" t="s">
        <v>203</v>
      </c>
      <c r="E112">
        <v>10.4</v>
      </c>
      <c r="F112">
        <v>12500</v>
      </c>
      <c r="G112">
        <f>Medias[[#This Row],[GPR]]/Medias[[#This Row],[Prix]]</f>
        <v>8.3200000000000006E-4</v>
      </c>
    </row>
    <row r="113" spans="1:9" hidden="1">
      <c r="A113" t="s">
        <v>107</v>
      </c>
      <c r="B113" t="s">
        <v>197</v>
      </c>
      <c r="C113" t="s">
        <v>200</v>
      </c>
      <c r="D113" t="s">
        <v>201</v>
      </c>
      <c r="E113">
        <v>7.38</v>
      </c>
      <c r="F113">
        <v>9000</v>
      </c>
      <c r="G113">
        <f>Medias[[#This Row],[GPR]]/Medias[[#This Row],[Prix]]</f>
        <v>8.1999999999999998E-4</v>
      </c>
    </row>
    <row r="114" spans="1:9" hidden="1">
      <c r="A114" t="s">
        <v>107</v>
      </c>
      <c r="B114" t="s">
        <v>205</v>
      </c>
      <c r="C114" t="s">
        <v>206</v>
      </c>
      <c r="D114" t="s">
        <v>207</v>
      </c>
      <c r="E114">
        <v>12.8</v>
      </c>
      <c r="F114">
        <v>24800</v>
      </c>
      <c r="G114">
        <f>Medias[[#This Row],[GPR]]/Medias[[#This Row],[Prix]]</f>
        <v>5.1612903225806454E-4</v>
      </c>
      <c r="I114">
        <v>2</v>
      </c>
    </row>
    <row r="115" spans="1:9" hidden="1">
      <c r="A115" t="s">
        <v>107</v>
      </c>
      <c r="B115" s="3" t="s">
        <v>208</v>
      </c>
      <c r="C115" t="s">
        <v>223</v>
      </c>
      <c r="D115" t="s">
        <v>224</v>
      </c>
      <c r="E115">
        <v>15.92</v>
      </c>
      <c r="F115">
        <v>31200</v>
      </c>
      <c r="G115">
        <f>Medias[[#This Row],[GPR]]/Medias[[#This Row],[Prix]]</f>
        <v>5.1025641025641028E-4</v>
      </c>
      <c r="I115">
        <v>2</v>
      </c>
    </row>
    <row r="116" spans="1:9" hidden="1">
      <c r="A116" t="s">
        <v>107</v>
      </c>
      <c r="B116" t="s">
        <v>197</v>
      </c>
      <c r="C116" t="s">
        <v>202</v>
      </c>
      <c r="D116" t="s">
        <v>228</v>
      </c>
      <c r="E116">
        <v>9.36</v>
      </c>
      <c r="F116">
        <v>19000</v>
      </c>
      <c r="G116">
        <f>Medias[[#This Row],[GPR]]/Medias[[#This Row],[Prix]]</f>
        <v>4.9263157894736834E-4</v>
      </c>
    </row>
    <row r="117" spans="1:9" hidden="1">
      <c r="A117" t="s">
        <v>107</v>
      </c>
      <c r="B117" t="s">
        <v>197</v>
      </c>
      <c r="C117" t="s">
        <v>198</v>
      </c>
      <c r="D117" t="s">
        <v>204</v>
      </c>
      <c r="E117">
        <v>7.69</v>
      </c>
      <c r="F117">
        <v>15800</v>
      </c>
      <c r="G117">
        <f>Medias[[#This Row],[GPR]]/Medias[[#This Row],[Prix]]</f>
        <v>4.8670886075949371E-4</v>
      </c>
    </row>
    <row r="118" spans="1:9" hidden="1">
      <c r="A118" t="s">
        <v>107</v>
      </c>
      <c r="B118" s="3" t="s">
        <v>208</v>
      </c>
      <c r="C118" t="s">
        <v>209</v>
      </c>
      <c r="D118" t="s">
        <v>210</v>
      </c>
      <c r="E118">
        <v>13.5</v>
      </c>
      <c r="F118">
        <v>29000</v>
      </c>
      <c r="G118">
        <f>Medias[[#This Row],[GPR]]/Medias[[#This Row],[Prix]]</f>
        <v>4.6551724137931035E-4</v>
      </c>
    </row>
    <row r="119" spans="1:9" hidden="1">
      <c r="A119" t="s">
        <v>107</v>
      </c>
      <c r="B119" t="s">
        <v>205</v>
      </c>
      <c r="C119" t="s">
        <v>206</v>
      </c>
      <c r="D119" t="s">
        <v>214</v>
      </c>
      <c r="E119">
        <v>10.24</v>
      </c>
      <c r="F119">
        <v>22000</v>
      </c>
      <c r="G119">
        <f>Medias[[#This Row],[GPR]]/Medias[[#This Row],[Prix]]</f>
        <v>4.6545454545454548E-4</v>
      </c>
    </row>
    <row r="120" spans="1:9" hidden="1">
      <c r="A120" t="s">
        <v>107</v>
      </c>
      <c r="B120" t="s">
        <v>197</v>
      </c>
      <c r="C120" t="s">
        <v>200</v>
      </c>
      <c r="D120" t="s">
        <v>199</v>
      </c>
      <c r="E120">
        <v>7.79</v>
      </c>
      <c r="F120">
        <v>17000</v>
      </c>
      <c r="G120" s="24">
        <f>Medias[[#This Row],[GPR]]/Medias[[#This Row],[Prix]]</f>
        <v>4.5823529411764705E-4</v>
      </c>
    </row>
    <row r="121" spans="1:9" hidden="1">
      <c r="A121" t="s">
        <v>107</v>
      </c>
      <c r="B121" s="3" t="s">
        <v>208</v>
      </c>
      <c r="C121" t="s">
        <v>209</v>
      </c>
      <c r="D121" t="s">
        <v>211</v>
      </c>
      <c r="E121">
        <v>12.15</v>
      </c>
      <c r="F121">
        <v>27000</v>
      </c>
      <c r="G121">
        <f>Medias[[#This Row],[GPR]]/Medias[[#This Row],[Prix]]</f>
        <v>4.4999999999999999E-4</v>
      </c>
    </row>
    <row r="122" spans="1:9" hidden="1">
      <c r="A122" t="s">
        <v>107</v>
      </c>
      <c r="B122" s="3" t="s">
        <v>208</v>
      </c>
      <c r="C122" s="3" t="s">
        <v>217</v>
      </c>
      <c r="D122" s="3" t="s">
        <v>218</v>
      </c>
      <c r="E122">
        <v>14.8</v>
      </c>
      <c r="F122">
        <v>33000</v>
      </c>
      <c r="G122">
        <f>Medias[[#This Row],[GPR]]/Medias[[#This Row],[Prix]]</f>
        <v>4.4848484848484849E-4</v>
      </c>
    </row>
    <row r="123" spans="1:9" hidden="1">
      <c r="A123" t="s">
        <v>107</v>
      </c>
      <c r="B123" t="s">
        <v>205</v>
      </c>
      <c r="C123" t="s">
        <v>206</v>
      </c>
      <c r="D123" t="s">
        <v>219</v>
      </c>
      <c r="E123">
        <v>12.16</v>
      </c>
      <c r="F123">
        <v>27300</v>
      </c>
      <c r="G123">
        <f>Medias[[#This Row],[GPR]]/Medias[[#This Row],[Prix]]</f>
        <v>4.4542124542124544E-4</v>
      </c>
    </row>
    <row r="124" spans="1:9" hidden="1">
      <c r="A124" t="s">
        <v>107</v>
      </c>
      <c r="B124" s="3" t="s">
        <v>208</v>
      </c>
      <c r="C124" t="s">
        <v>223</v>
      </c>
      <c r="D124" t="s">
        <v>229</v>
      </c>
      <c r="E124">
        <v>17.3</v>
      </c>
      <c r="F124">
        <v>39000</v>
      </c>
      <c r="G124">
        <f>Medias[[#This Row],[GPR]]/Medias[[#This Row],[Prix]]</f>
        <v>4.4358974358974358E-4</v>
      </c>
    </row>
    <row r="125" spans="1:9" hidden="1">
      <c r="A125" t="s">
        <v>107</v>
      </c>
      <c r="B125" t="s">
        <v>205</v>
      </c>
      <c r="C125" t="s">
        <v>212</v>
      </c>
      <c r="D125" t="s">
        <v>213</v>
      </c>
      <c r="E125">
        <v>10.1</v>
      </c>
      <c r="F125">
        <v>23000</v>
      </c>
      <c r="G125">
        <f>Medias[[#This Row],[GPR]]/Medias[[#This Row],[Prix]]</f>
        <v>4.3913043478260866E-4</v>
      </c>
    </row>
    <row r="126" spans="1:9" hidden="1">
      <c r="A126" t="s">
        <v>107</v>
      </c>
      <c r="B126" t="s">
        <v>205</v>
      </c>
      <c r="C126" t="s">
        <v>212</v>
      </c>
      <c r="D126" t="s">
        <v>215</v>
      </c>
      <c r="E126">
        <v>10.1</v>
      </c>
      <c r="F126">
        <v>23500</v>
      </c>
      <c r="G126">
        <f>Medias[[#This Row],[GPR]]/Medias[[#This Row],[Prix]]</f>
        <v>4.2978723404255318E-4</v>
      </c>
    </row>
    <row r="127" spans="1:9" hidden="1">
      <c r="A127" t="s">
        <v>107</v>
      </c>
      <c r="B127" t="s">
        <v>205</v>
      </c>
      <c r="C127" t="s">
        <v>212</v>
      </c>
      <c r="D127" t="s">
        <v>216</v>
      </c>
      <c r="E127">
        <v>10.1</v>
      </c>
      <c r="F127">
        <v>24000</v>
      </c>
      <c r="G127">
        <f>Medias[[#This Row],[GPR]]/Medias[[#This Row],[Prix]]</f>
        <v>4.2083333333333333E-4</v>
      </c>
    </row>
    <row r="128" spans="1:9" hidden="1">
      <c r="A128" t="s">
        <v>107</v>
      </c>
      <c r="B128" s="3" t="s">
        <v>208</v>
      </c>
      <c r="C128" t="s">
        <v>209</v>
      </c>
      <c r="D128" t="s">
        <v>219</v>
      </c>
      <c r="E128">
        <v>12.82</v>
      </c>
      <c r="F128">
        <v>31000</v>
      </c>
      <c r="G128">
        <f>Medias[[#This Row],[GPR]]/Medias[[#This Row],[Prix]]</f>
        <v>4.135483870967742E-4</v>
      </c>
    </row>
    <row r="129" spans="1:7" hidden="1">
      <c r="A129" t="s">
        <v>107</v>
      </c>
      <c r="B129" s="3" t="s">
        <v>208</v>
      </c>
      <c r="C129" s="3" t="s">
        <v>217</v>
      </c>
      <c r="D129" t="s">
        <v>225</v>
      </c>
      <c r="E129">
        <v>14.8</v>
      </c>
      <c r="F129">
        <v>35800</v>
      </c>
      <c r="G129">
        <f>Medias[[#This Row],[GPR]]/Medias[[#This Row],[Prix]]</f>
        <v>4.1340782122905028E-4</v>
      </c>
    </row>
    <row r="130" spans="1:7" hidden="1">
      <c r="A130" t="s">
        <v>107</v>
      </c>
      <c r="B130" s="3" t="s">
        <v>208</v>
      </c>
      <c r="C130" t="s">
        <v>223</v>
      </c>
      <c r="D130" t="s">
        <v>231</v>
      </c>
      <c r="E130">
        <v>16.61</v>
      </c>
      <c r="F130">
        <v>41000</v>
      </c>
      <c r="G130">
        <f>Medias[[#This Row],[GPR]]/Medias[[#This Row],[Prix]]</f>
        <v>4.0512195121951216E-4</v>
      </c>
    </row>
    <row r="131" spans="1:7" hidden="1">
      <c r="A131" t="s">
        <v>107</v>
      </c>
      <c r="B131" s="3" t="s">
        <v>208</v>
      </c>
      <c r="C131" s="3" t="s">
        <v>217</v>
      </c>
      <c r="D131" t="s">
        <v>227</v>
      </c>
      <c r="E131">
        <v>14.8</v>
      </c>
      <c r="F131">
        <v>37000</v>
      </c>
      <c r="G131">
        <f>Medias[[#This Row],[GPR]]/Medias[[#This Row],[Prix]]</f>
        <v>4.0000000000000002E-4</v>
      </c>
    </row>
    <row r="132" spans="1:7" hidden="1">
      <c r="A132" t="s">
        <v>107</v>
      </c>
      <c r="B132" t="s">
        <v>205</v>
      </c>
      <c r="C132" t="s">
        <v>220</v>
      </c>
      <c r="D132" t="s">
        <v>221</v>
      </c>
      <c r="E132">
        <v>7.8</v>
      </c>
      <c r="F132">
        <v>22000</v>
      </c>
      <c r="G132">
        <f>Medias[[#This Row],[GPR]]/Medias[[#This Row],[Prix]]</f>
        <v>3.5454545454545455E-4</v>
      </c>
    </row>
    <row r="133" spans="1:7" hidden="1">
      <c r="A133" t="s">
        <v>107</v>
      </c>
      <c r="B133" t="s">
        <v>205</v>
      </c>
      <c r="C133" t="s">
        <v>220</v>
      </c>
      <c r="D133" t="s">
        <v>222</v>
      </c>
      <c r="E133">
        <v>7.02</v>
      </c>
      <c r="F133">
        <v>20000</v>
      </c>
      <c r="G133">
        <f>Medias[[#This Row],[GPR]]/Medias[[#This Row],[Prix]]</f>
        <v>3.5099999999999997E-4</v>
      </c>
    </row>
    <row r="134" spans="1:7" hidden="1">
      <c r="A134" t="s">
        <v>107</v>
      </c>
      <c r="B134" t="s">
        <v>197</v>
      </c>
      <c r="C134" t="s">
        <v>198</v>
      </c>
      <c r="D134" t="s">
        <v>226</v>
      </c>
      <c r="E134">
        <v>8.1</v>
      </c>
      <c r="F134">
        <v>23700</v>
      </c>
      <c r="G134">
        <f>Medias[[#This Row],[GPR]]/Medias[[#This Row],[Prix]]</f>
        <v>3.4177215189873416E-4</v>
      </c>
    </row>
    <row r="135" spans="1:7" hidden="1">
      <c r="A135" t="s">
        <v>107</v>
      </c>
      <c r="B135" t="s">
        <v>197</v>
      </c>
      <c r="C135" t="s">
        <v>200</v>
      </c>
      <c r="D135" t="s">
        <v>230</v>
      </c>
      <c r="E135">
        <v>8.1999999999999993</v>
      </c>
      <c r="F135">
        <v>26750</v>
      </c>
      <c r="G135">
        <f>Medias[[#This Row],[GPR]]/Medias[[#This Row],[Prix]]</f>
        <v>3.0654205607476634E-4</v>
      </c>
    </row>
    <row r="136" spans="1:7" hidden="1">
      <c r="A136" t="s">
        <v>107</v>
      </c>
      <c r="B136" t="s">
        <v>205</v>
      </c>
      <c r="C136" t="s">
        <v>220</v>
      </c>
      <c r="D136" t="s">
        <v>232</v>
      </c>
      <c r="E136">
        <v>7.02</v>
      </c>
      <c r="F136">
        <v>27000</v>
      </c>
      <c r="G136">
        <f>Medias[[#This Row],[GPR]]/Medias[[#This Row],[Prix]]</f>
        <v>2.5999999999999998E-4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B7CE0-13B5-47AC-960D-BB99374E4254}">
  <sheetPr codeName="Feuil6"/>
  <dimension ref="A1:I30"/>
  <sheetViews>
    <sheetView tabSelected="1" topLeftCell="C1" workbookViewId="0">
      <selection activeCell="A8" sqref="A8:J8"/>
    </sheetView>
  </sheetViews>
  <sheetFormatPr defaultColWidth="9.140625" defaultRowHeight="15"/>
  <cols>
    <col min="1" max="1" width="17.85546875" customWidth="1"/>
    <col min="2" max="2" width="9.28515625" bestFit="1" customWidth="1"/>
    <col min="3" max="3" width="9.140625" bestFit="1" customWidth="1"/>
    <col min="4" max="4" width="9.7109375" bestFit="1" customWidth="1"/>
    <col min="5" max="5" width="9.140625" bestFit="1" customWidth="1"/>
    <col min="6" max="6" width="13.28515625" bestFit="1" customWidth="1"/>
    <col min="7" max="7" width="10.7109375" bestFit="1" customWidth="1"/>
    <col min="8" max="8" width="12.85546875" bestFit="1" customWidth="1"/>
    <col min="9" max="9" width="12.5703125" bestFit="1" customWidth="1"/>
  </cols>
  <sheetData>
    <row r="1" spans="1:9">
      <c r="A1" s="58" t="s">
        <v>235</v>
      </c>
      <c r="B1" s="58" t="s">
        <v>236</v>
      </c>
      <c r="C1" s="58" t="s">
        <v>237</v>
      </c>
      <c r="D1" s="58" t="s">
        <v>238</v>
      </c>
      <c r="E1" s="58" t="s">
        <v>181</v>
      </c>
      <c r="F1" s="58" t="s">
        <v>239</v>
      </c>
      <c r="G1" s="58" t="s">
        <v>240</v>
      </c>
      <c r="H1" s="58" t="s">
        <v>241</v>
      </c>
      <c r="I1" s="58" t="s">
        <v>242</v>
      </c>
    </row>
    <row r="2" spans="1:9">
      <c r="A2" s="119"/>
      <c r="B2" s="119"/>
      <c r="C2" s="119"/>
      <c r="D2" s="119"/>
      <c r="E2" s="120" t="s">
        <v>243</v>
      </c>
      <c r="F2" s="119"/>
      <c r="G2" s="119"/>
      <c r="H2" s="119"/>
      <c r="I2" s="119"/>
    </row>
    <row r="3" spans="1:9">
      <c r="A3" s="75" t="s">
        <v>89</v>
      </c>
      <c r="B3" s="75">
        <v>0</v>
      </c>
      <c r="C3" s="75">
        <v>0</v>
      </c>
      <c r="D3" s="75">
        <v>29600</v>
      </c>
      <c r="E3" s="75">
        <v>259000</v>
      </c>
      <c r="F3" s="75"/>
      <c r="G3" s="75"/>
      <c r="H3" s="75"/>
      <c r="I3" s="75"/>
    </row>
    <row r="4" spans="1:9">
      <c r="A4" s="121" t="s">
        <v>87</v>
      </c>
      <c r="B4" s="121">
        <v>0</v>
      </c>
      <c r="C4" s="121">
        <v>500</v>
      </c>
      <c r="D4" s="121">
        <v>2000</v>
      </c>
      <c r="E4" s="121">
        <v>2275</v>
      </c>
      <c r="F4" s="121"/>
      <c r="G4" s="121"/>
      <c r="H4" s="121"/>
      <c r="I4" s="121"/>
    </row>
    <row r="5" spans="1:9">
      <c r="A5" s="75" t="s">
        <v>91</v>
      </c>
      <c r="B5" s="75">
        <v>0</v>
      </c>
      <c r="C5" s="75">
        <v>0</v>
      </c>
      <c r="D5" s="75">
        <v>0</v>
      </c>
      <c r="E5" s="75">
        <v>100000</v>
      </c>
      <c r="F5" s="75"/>
      <c r="G5" s="75"/>
      <c r="H5" s="75"/>
      <c r="I5" s="75"/>
    </row>
    <row r="6" spans="1:9">
      <c r="A6" s="121" t="s">
        <v>244</v>
      </c>
      <c r="B6" s="121">
        <v>13106.39</v>
      </c>
      <c r="C6" s="121">
        <v>0</v>
      </c>
      <c r="D6" s="121"/>
      <c r="E6" s="121">
        <v>750</v>
      </c>
      <c r="F6" s="121"/>
      <c r="G6" s="121"/>
      <c r="H6" s="121"/>
      <c r="I6" s="121"/>
    </row>
    <row r="7" spans="1:9">
      <c r="A7" s="75" t="s">
        <v>245</v>
      </c>
      <c r="B7" s="75">
        <v>6544.66</v>
      </c>
      <c r="C7" s="75">
        <v>150</v>
      </c>
      <c r="D7" s="75"/>
      <c r="E7" s="75">
        <v>199</v>
      </c>
      <c r="F7" s="75"/>
      <c r="G7" s="75"/>
      <c r="H7" s="75"/>
      <c r="I7" s="75"/>
    </row>
    <row r="8" spans="1:9">
      <c r="A8" s="165" t="s">
        <v>246</v>
      </c>
      <c r="B8" s="166"/>
      <c r="C8" s="166"/>
      <c r="D8" s="166"/>
      <c r="E8" s="166"/>
      <c r="F8" s="166"/>
      <c r="G8" s="166"/>
      <c r="H8" s="166"/>
      <c r="I8" s="166"/>
    </row>
    <row r="9" spans="1:9">
      <c r="A9" s="58" t="s">
        <v>158</v>
      </c>
      <c r="B9" s="58">
        <v>0</v>
      </c>
      <c r="C9" s="58">
        <v>0</v>
      </c>
      <c r="D9" s="58">
        <v>37000</v>
      </c>
      <c r="E9" s="58">
        <v>155000</v>
      </c>
      <c r="F9" s="58">
        <v>67536</v>
      </c>
      <c r="G9" s="58">
        <v>66680</v>
      </c>
      <c r="H9" s="58">
        <v>0</v>
      </c>
      <c r="I9" s="58">
        <v>36569</v>
      </c>
    </row>
    <row r="10" spans="1:9">
      <c r="A10" t="s">
        <v>109</v>
      </c>
      <c r="B10">
        <v>0</v>
      </c>
      <c r="C10">
        <v>1000</v>
      </c>
      <c r="D10">
        <v>4000</v>
      </c>
      <c r="E10">
        <v>4550</v>
      </c>
      <c r="F10">
        <v>0</v>
      </c>
      <c r="G10">
        <v>1750</v>
      </c>
      <c r="H10">
        <v>0</v>
      </c>
      <c r="I10">
        <v>4128</v>
      </c>
    </row>
    <row r="11" spans="1:9">
      <c r="A11" s="58" t="s">
        <v>247</v>
      </c>
      <c r="B11" s="58">
        <v>0</v>
      </c>
      <c r="C11" s="58">
        <v>329787</v>
      </c>
      <c r="D11" s="58">
        <v>1300000</v>
      </c>
      <c r="E11" s="58">
        <v>1500000</v>
      </c>
      <c r="F11" s="58">
        <v>0</v>
      </c>
      <c r="G11" s="58">
        <v>1271087</v>
      </c>
      <c r="H11" s="58">
        <v>0</v>
      </c>
      <c r="I11" s="58">
        <v>982223</v>
      </c>
    </row>
    <row r="12" spans="1:9">
      <c r="A12" t="s">
        <v>114</v>
      </c>
      <c r="B12">
        <v>0</v>
      </c>
      <c r="C12">
        <v>0</v>
      </c>
      <c r="D12">
        <v>0</v>
      </c>
      <c r="E12">
        <v>0</v>
      </c>
      <c r="F12">
        <v>725000</v>
      </c>
      <c r="G12">
        <v>100000</v>
      </c>
      <c r="H12">
        <v>0</v>
      </c>
      <c r="I12">
        <v>750000</v>
      </c>
    </row>
    <row r="13" spans="1:9">
      <c r="A13" s="58" t="s">
        <v>234</v>
      </c>
      <c r="B13" s="58">
        <v>0</v>
      </c>
      <c r="C13" s="58">
        <v>0</v>
      </c>
      <c r="D13" s="58">
        <v>0</v>
      </c>
      <c r="E13" s="58">
        <v>0</v>
      </c>
      <c r="F13" s="58">
        <v>0</v>
      </c>
      <c r="G13" s="58">
        <v>20000</v>
      </c>
      <c r="H13" s="58">
        <v>0</v>
      </c>
      <c r="I13" s="58">
        <v>40000</v>
      </c>
    </row>
    <row r="14" spans="1:9">
      <c r="A14" s="165" t="s">
        <v>248</v>
      </c>
      <c r="B14" s="166"/>
      <c r="C14" s="166"/>
      <c r="D14" s="166"/>
      <c r="E14" s="166"/>
      <c r="F14" s="166"/>
      <c r="G14" s="166"/>
      <c r="H14" s="166"/>
      <c r="I14" s="166"/>
    </row>
    <row r="15" spans="1:9">
      <c r="A15" s="58" t="s">
        <v>158</v>
      </c>
      <c r="B15" s="58">
        <v>0</v>
      </c>
      <c r="C15" s="58"/>
      <c r="D15" s="122">
        <v>5.2</v>
      </c>
      <c r="E15" s="58">
        <v>5.3</v>
      </c>
      <c r="F15" s="58">
        <v>5.3</v>
      </c>
      <c r="G15" s="58">
        <v>5.17</v>
      </c>
      <c r="H15" s="58">
        <v>5.27</v>
      </c>
      <c r="I15" s="58">
        <v>5.27</v>
      </c>
    </row>
    <row r="16" spans="1:9">
      <c r="A16" t="s">
        <v>109</v>
      </c>
      <c r="B16">
        <v>0</v>
      </c>
      <c r="C16">
        <v>105</v>
      </c>
      <c r="D16">
        <v>105</v>
      </c>
      <c r="E16">
        <v>110</v>
      </c>
      <c r="G16">
        <v>110.37</v>
      </c>
      <c r="H16">
        <v>109.67</v>
      </c>
      <c r="I16">
        <v>109.67</v>
      </c>
    </row>
    <row r="17" spans="1:9">
      <c r="A17" s="58" t="s">
        <v>247</v>
      </c>
      <c r="B17" s="58">
        <v>0</v>
      </c>
      <c r="C17" s="58">
        <v>1.9</v>
      </c>
      <c r="D17" s="58">
        <v>2.0499999999999998</v>
      </c>
      <c r="E17" s="58">
        <v>2.1</v>
      </c>
      <c r="F17" s="58">
        <v>0</v>
      </c>
      <c r="G17" s="58">
        <v>2.0699999999999998</v>
      </c>
      <c r="H17" s="58">
        <v>2.0699999999999998</v>
      </c>
      <c r="I17" s="58">
        <v>2.0699999999999998</v>
      </c>
    </row>
    <row r="18" spans="1:9">
      <c r="A18" t="s">
        <v>114</v>
      </c>
      <c r="B18">
        <v>0</v>
      </c>
      <c r="E18">
        <v>0</v>
      </c>
      <c r="F18">
        <v>3.2</v>
      </c>
      <c r="G18">
        <v>3.17</v>
      </c>
      <c r="H18">
        <v>3.27</v>
      </c>
      <c r="I18">
        <v>3.17</v>
      </c>
    </row>
    <row r="19" spans="1:9">
      <c r="A19" s="58" t="s">
        <v>234</v>
      </c>
      <c r="B19" s="58">
        <v>0</v>
      </c>
      <c r="C19" s="58"/>
      <c r="D19" s="58"/>
      <c r="E19" s="58">
        <v>0</v>
      </c>
      <c r="F19" s="58"/>
      <c r="G19" s="58">
        <v>4.2699999999999996</v>
      </c>
      <c r="H19" s="58">
        <v>4.37</v>
      </c>
      <c r="I19" s="58">
        <v>4.2699999999999996</v>
      </c>
    </row>
    <row r="20" spans="1:9">
      <c r="A20" s="165" t="s">
        <v>249</v>
      </c>
      <c r="B20" s="166"/>
      <c r="C20" s="166"/>
      <c r="D20" s="166"/>
      <c r="E20" s="166"/>
      <c r="F20" s="166"/>
      <c r="G20" s="166"/>
      <c r="H20" s="166"/>
      <c r="I20" s="166"/>
    </row>
    <row r="21" spans="1:9">
      <c r="A21" s="58" t="s">
        <v>158</v>
      </c>
      <c r="B21" s="58" t="s">
        <v>250</v>
      </c>
      <c r="C21" s="58">
        <v>1.1200000000000001</v>
      </c>
      <c r="D21" s="58">
        <v>1.1599999999999999</v>
      </c>
      <c r="E21" s="58">
        <v>1.1299999999999999</v>
      </c>
      <c r="F21" s="58">
        <v>1.04</v>
      </c>
      <c r="G21" s="58">
        <v>0.94</v>
      </c>
      <c r="H21" s="58">
        <v>0.89</v>
      </c>
      <c r="I21" s="58">
        <v>0.87</v>
      </c>
    </row>
    <row r="22" spans="1:9">
      <c r="A22" t="s">
        <v>109</v>
      </c>
      <c r="B22" t="s">
        <v>250</v>
      </c>
      <c r="C22">
        <v>1.1000000000000001</v>
      </c>
      <c r="D22">
        <v>1.1000000000000001</v>
      </c>
      <c r="E22">
        <v>1.1000000000000001</v>
      </c>
      <c r="F22">
        <v>1.1000000000000001</v>
      </c>
      <c r="G22">
        <v>1.05</v>
      </c>
      <c r="H22">
        <v>1.05</v>
      </c>
      <c r="I22">
        <v>0.95</v>
      </c>
    </row>
    <row r="23" spans="1:9">
      <c r="A23" s="58" t="s">
        <v>247</v>
      </c>
      <c r="B23" s="58" t="s">
        <v>250</v>
      </c>
      <c r="C23" s="58">
        <v>1.04</v>
      </c>
      <c r="D23" s="58">
        <v>1.04</v>
      </c>
      <c r="E23" s="58">
        <v>1.03</v>
      </c>
      <c r="F23" s="58">
        <v>0.98</v>
      </c>
      <c r="G23" s="58">
        <v>0.97</v>
      </c>
      <c r="H23" s="58">
        <v>0.96</v>
      </c>
      <c r="I23" s="58">
        <v>0.95</v>
      </c>
    </row>
    <row r="24" spans="1:9">
      <c r="A24" t="s">
        <v>114</v>
      </c>
      <c r="B24" t="s">
        <v>250</v>
      </c>
      <c r="C24">
        <v>1.08</v>
      </c>
      <c r="D24">
        <v>0.72</v>
      </c>
      <c r="E24">
        <v>0.74</v>
      </c>
      <c r="F24">
        <v>0.88</v>
      </c>
      <c r="G24">
        <v>0.87</v>
      </c>
      <c r="H24">
        <v>0.85</v>
      </c>
      <c r="I24">
        <v>1.75</v>
      </c>
    </row>
    <row r="25" spans="1:9">
      <c r="A25" s="58" t="s">
        <v>234</v>
      </c>
      <c r="B25" s="58" t="s">
        <v>250</v>
      </c>
      <c r="C25" s="58">
        <v>1.1000000000000001</v>
      </c>
      <c r="D25" s="58">
        <v>1.05</v>
      </c>
      <c r="E25" s="58">
        <v>1.07</v>
      </c>
      <c r="F25" s="58">
        <v>0.94</v>
      </c>
      <c r="G25" s="58">
        <v>0.92</v>
      </c>
      <c r="H25" s="58">
        <v>0.89</v>
      </c>
      <c r="I25" s="58">
        <v>1.25</v>
      </c>
    </row>
    <row r="26" spans="1:9">
      <c r="A26" s="165" t="s">
        <v>251</v>
      </c>
      <c r="B26" s="166"/>
      <c r="C26" s="166"/>
      <c r="D26" s="166"/>
      <c r="E26" s="166"/>
      <c r="F26" s="166"/>
      <c r="G26" s="166"/>
      <c r="H26" s="166"/>
      <c r="I26" s="166"/>
    </row>
    <row r="27" spans="1:9">
      <c r="A27" s="58" t="s">
        <v>34</v>
      </c>
      <c r="B27" s="58">
        <v>5</v>
      </c>
      <c r="C27" s="58">
        <v>5</v>
      </c>
      <c r="D27" s="58">
        <v>6</v>
      </c>
      <c r="E27" s="58">
        <v>10</v>
      </c>
      <c r="F27" s="58">
        <v>10</v>
      </c>
      <c r="G27" s="58">
        <v>10</v>
      </c>
      <c r="H27" s="58">
        <v>10</v>
      </c>
      <c r="I27" s="58">
        <v>10</v>
      </c>
    </row>
    <row r="28" spans="1:9">
      <c r="A28" t="s">
        <v>36</v>
      </c>
      <c r="B28">
        <v>4</v>
      </c>
      <c r="C28">
        <v>4</v>
      </c>
      <c r="D28">
        <v>4</v>
      </c>
      <c r="E28">
        <v>4</v>
      </c>
      <c r="F28">
        <v>4</v>
      </c>
      <c r="G28">
        <v>4</v>
      </c>
      <c r="H28">
        <v>4</v>
      </c>
      <c r="I28">
        <v>4</v>
      </c>
    </row>
    <row r="29" spans="1:9">
      <c r="A29" s="58" t="s">
        <v>38</v>
      </c>
      <c r="B29" s="58">
        <v>6</v>
      </c>
      <c r="C29" s="58">
        <v>6</v>
      </c>
      <c r="D29" s="58">
        <v>6</v>
      </c>
      <c r="E29" s="58">
        <v>6</v>
      </c>
      <c r="F29" s="58">
        <v>6</v>
      </c>
      <c r="G29" s="58">
        <v>6</v>
      </c>
      <c r="H29" s="58">
        <v>9</v>
      </c>
      <c r="I29" s="58">
        <v>8</v>
      </c>
    </row>
    <row r="30" spans="1:9">
      <c r="A30" t="s">
        <v>40</v>
      </c>
      <c r="B30">
        <v>6</v>
      </c>
      <c r="C30">
        <v>6</v>
      </c>
      <c r="D30">
        <v>6</v>
      </c>
      <c r="E30">
        <v>7</v>
      </c>
      <c r="F30">
        <v>7</v>
      </c>
      <c r="G30">
        <v>7</v>
      </c>
      <c r="H30">
        <v>7</v>
      </c>
      <c r="I30">
        <v>9</v>
      </c>
    </row>
  </sheetData>
  <mergeCells count="4">
    <mergeCell ref="A26:I26"/>
    <mergeCell ref="A8:I8"/>
    <mergeCell ref="A14:I14"/>
    <mergeCell ref="A20:I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A67BB-BCD7-4DD2-8205-DC42C46B1AD7}">
  <dimension ref="A1:M13"/>
  <sheetViews>
    <sheetView workbookViewId="0">
      <selection activeCell="B9" sqref="B9"/>
    </sheetView>
  </sheetViews>
  <sheetFormatPr defaultRowHeight="15"/>
  <cols>
    <col min="1" max="1" width="13" customWidth="1"/>
    <col min="2" max="2" width="17.85546875" customWidth="1"/>
    <col min="3" max="3" width="14.28515625" customWidth="1"/>
    <col min="4" max="4" width="16.140625" customWidth="1"/>
    <col min="5" max="5" width="21.140625" customWidth="1"/>
    <col min="6" max="6" width="19.85546875" customWidth="1"/>
    <col min="8" max="8" width="11.85546875" bestFit="1" customWidth="1"/>
    <col min="9" max="9" width="20.42578125" customWidth="1"/>
    <col min="10" max="10" width="13.42578125" customWidth="1"/>
    <col min="11" max="11" width="15.85546875" customWidth="1"/>
    <col min="12" max="12" width="21.7109375" customWidth="1"/>
    <col min="13" max="13" width="20" bestFit="1" customWidth="1"/>
  </cols>
  <sheetData>
    <row r="1" spans="1:13">
      <c r="A1" t="s">
        <v>252</v>
      </c>
      <c r="B1" t="s">
        <v>253</v>
      </c>
      <c r="C1" t="s">
        <v>109</v>
      </c>
      <c r="D1" t="s">
        <v>160</v>
      </c>
      <c r="E1" t="s">
        <v>114</v>
      </c>
      <c r="F1" t="s">
        <v>234</v>
      </c>
      <c r="H1" t="s">
        <v>252</v>
      </c>
      <c r="I1" t="s">
        <v>107</v>
      </c>
      <c r="J1" t="s">
        <v>109</v>
      </c>
      <c r="K1" t="s">
        <v>160</v>
      </c>
      <c r="L1" t="s">
        <v>114</v>
      </c>
      <c r="M1" t="s">
        <v>234</v>
      </c>
    </row>
    <row r="2" spans="1:13">
      <c r="A2" t="s">
        <v>237</v>
      </c>
      <c r="B2">
        <f>($B$9*I2)/$A$13</f>
        <v>56000.000000000007</v>
      </c>
      <c r="C2">
        <f>($C$9*J2)/$A$13</f>
        <v>7150.0000000000009</v>
      </c>
      <c r="D2">
        <f>($D$9*K2)/$A$13</f>
        <v>2080000</v>
      </c>
      <c r="E2">
        <f>($E$9*L2)/$A$13</f>
        <v>810000</v>
      </c>
      <c r="F2">
        <f>($F$9*M2)/$A$13</f>
        <v>198000</v>
      </c>
      <c r="H2" t="s">
        <v>237</v>
      </c>
      <c r="I2" s="156">
        <v>1.1200000000000001</v>
      </c>
      <c r="J2">
        <v>1.1000000000000001</v>
      </c>
      <c r="K2">
        <v>1.04</v>
      </c>
      <c r="L2">
        <v>1.08</v>
      </c>
      <c r="M2">
        <v>1.1000000000000001</v>
      </c>
    </row>
    <row r="3" spans="1:13">
      <c r="A3" t="s">
        <v>238</v>
      </c>
      <c r="B3">
        <f>($B$9*I3)/$A$13</f>
        <v>58000</v>
      </c>
      <c r="C3">
        <f>($C$9*J3)/$A$13</f>
        <v>7150.0000000000009</v>
      </c>
      <c r="D3">
        <f>($D$9*K3)/$A$13</f>
        <v>2080000</v>
      </c>
      <c r="E3">
        <f>($E$9*L3)/$A$13</f>
        <v>540000</v>
      </c>
      <c r="F3">
        <f>($F$9*M3)/$A$13</f>
        <v>189000</v>
      </c>
      <c r="H3" t="s">
        <v>238</v>
      </c>
      <c r="I3" s="156">
        <v>1.1599999999999999</v>
      </c>
      <c r="J3">
        <v>1.1000000000000001</v>
      </c>
      <c r="K3">
        <v>1.04</v>
      </c>
      <c r="L3">
        <v>0.72</v>
      </c>
      <c r="M3">
        <v>1.05</v>
      </c>
    </row>
    <row r="4" spans="1:13">
      <c r="A4" t="s">
        <v>181</v>
      </c>
      <c r="B4">
        <f>($B$9*I4)/$A$13</f>
        <v>56499.999999999993</v>
      </c>
      <c r="C4">
        <f>($C$9*J4)/$A$13</f>
        <v>7150.0000000000009</v>
      </c>
      <c r="D4">
        <f>($D$9*K4)/$A$13</f>
        <v>2060000</v>
      </c>
      <c r="E4">
        <f>($E$9*L4)/$A$13</f>
        <v>555000</v>
      </c>
      <c r="F4">
        <f>($F$9*M4)/$A$13</f>
        <v>192600</v>
      </c>
      <c r="H4" t="s">
        <v>181</v>
      </c>
      <c r="I4" s="156">
        <v>1.1299999999999999</v>
      </c>
      <c r="J4">
        <v>1.1000000000000001</v>
      </c>
      <c r="K4">
        <v>1.03</v>
      </c>
      <c r="L4">
        <v>0.74</v>
      </c>
      <c r="M4">
        <v>1.07</v>
      </c>
    </row>
    <row r="5" spans="1:13">
      <c r="A5" t="s">
        <v>239</v>
      </c>
      <c r="B5">
        <f>($B$9*I5)/$A$13</f>
        <v>52000</v>
      </c>
      <c r="C5">
        <f>($C$9*J5)/$A$13</f>
        <v>7150.0000000000009</v>
      </c>
      <c r="D5">
        <f>($D$9*K5)/$A$13</f>
        <v>1960000</v>
      </c>
      <c r="E5">
        <f>($E$9*L5)/$A$13</f>
        <v>660000</v>
      </c>
      <c r="F5">
        <f>($F$9*M5)/$A$13</f>
        <v>169200</v>
      </c>
      <c r="H5" t="s">
        <v>239</v>
      </c>
      <c r="I5" s="156">
        <v>1.04</v>
      </c>
      <c r="J5">
        <v>1.1000000000000001</v>
      </c>
      <c r="K5">
        <v>0.98</v>
      </c>
      <c r="L5">
        <v>0.88</v>
      </c>
      <c r="M5">
        <v>0.94</v>
      </c>
    </row>
    <row r="6" spans="1:13">
      <c r="A6" t="s">
        <v>240</v>
      </c>
      <c r="B6">
        <f>($B$9*I6)/$A$13</f>
        <v>47000</v>
      </c>
      <c r="C6">
        <f>($C$9*J6)/$A$13</f>
        <v>6825</v>
      </c>
      <c r="D6">
        <f>($D$9*K6)/$A$13</f>
        <v>1940000</v>
      </c>
      <c r="E6">
        <f>($E$9*L6)/$A$13</f>
        <v>652500</v>
      </c>
      <c r="F6">
        <f>($F$9*M6)/$A$13</f>
        <v>165600</v>
      </c>
      <c r="H6" t="s">
        <v>240</v>
      </c>
      <c r="I6" s="156">
        <v>0.94</v>
      </c>
      <c r="J6">
        <v>1.05</v>
      </c>
      <c r="K6">
        <v>0.97</v>
      </c>
      <c r="L6">
        <v>0.87</v>
      </c>
      <c r="M6">
        <v>0.92</v>
      </c>
    </row>
    <row r="7" spans="1:13">
      <c r="A7" t="s">
        <v>241</v>
      </c>
      <c r="B7">
        <f>($B$9*I7)/$A$13</f>
        <v>44500</v>
      </c>
      <c r="C7">
        <f>($C$9*J7)/$A$13</f>
        <v>6825</v>
      </c>
      <c r="D7">
        <f>($D$9*K7)/$A$13</f>
        <v>1920000</v>
      </c>
      <c r="E7">
        <f>($E$9*L7)/$A$13</f>
        <v>637500</v>
      </c>
      <c r="F7">
        <f>($F$9*M7)/$A$13</f>
        <v>160200</v>
      </c>
      <c r="H7" t="s">
        <v>241</v>
      </c>
      <c r="I7" s="156">
        <v>0.89</v>
      </c>
      <c r="J7">
        <v>1.05</v>
      </c>
      <c r="K7">
        <v>0.96</v>
      </c>
      <c r="L7">
        <v>0.85</v>
      </c>
      <c r="M7">
        <v>0.89</v>
      </c>
    </row>
    <row r="8" spans="1:13">
      <c r="A8" t="s">
        <v>242</v>
      </c>
      <c r="B8">
        <f>($B$9*I8)/$A$13</f>
        <v>43500</v>
      </c>
      <c r="C8">
        <f>($C$9*J8)/$A$13</f>
        <v>6175</v>
      </c>
      <c r="D8">
        <f>($D$9*K8)/$A$13</f>
        <v>1900000</v>
      </c>
      <c r="E8">
        <f>($E$9*L8)/$A$13</f>
        <v>1312500</v>
      </c>
      <c r="F8">
        <f>($F$9*M8)/$A$13</f>
        <v>225000</v>
      </c>
      <c r="H8" t="s">
        <v>242</v>
      </c>
      <c r="I8" s="156">
        <v>0.87</v>
      </c>
      <c r="J8">
        <v>0.95</v>
      </c>
      <c r="K8">
        <v>0.95</v>
      </c>
      <c r="L8">
        <v>1.75</v>
      </c>
      <c r="M8">
        <v>1.25</v>
      </c>
    </row>
    <row r="9" spans="1:13">
      <c r="A9" t="s">
        <v>254</v>
      </c>
      <c r="B9">
        <v>350000</v>
      </c>
      <c r="C9">
        <v>45500</v>
      </c>
      <c r="D9">
        <v>14000000</v>
      </c>
      <c r="E9">
        <v>5250000</v>
      </c>
      <c r="F9">
        <v>1260000</v>
      </c>
    </row>
    <row r="12" spans="1:13">
      <c r="A12" t="s">
        <v>255</v>
      </c>
    </row>
    <row r="13" spans="1:13">
      <c r="A13">
        <v>7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3D7012BE17E5499E88CA2F30976028" ma:contentTypeVersion="3" ma:contentTypeDescription="Create a new document." ma:contentTypeScope="" ma:versionID="aa3d3d9bae548f1fd35f20010dfa6c5c">
  <xsd:schema xmlns:xsd="http://www.w3.org/2001/XMLSchema" xmlns:xs="http://www.w3.org/2001/XMLSchema" xmlns:p="http://schemas.microsoft.com/office/2006/metadata/properties" xmlns:ns2="524e0035-9ab5-480a-93fc-0db53df57270" targetNamespace="http://schemas.microsoft.com/office/2006/metadata/properties" ma:root="true" ma:fieldsID="40f652e5026b9575aff2b3d0311f0b40" ns2:_="">
    <xsd:import namespace="524e0035-9ab5-480a-93fc-0db53df572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4e0035-9ab5-480a-93fc-0db53df572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E76E1F2-E49C-4702-907A-8196453F8CE5}"/>
</file>

<file path=customXml/itemProps2.xml><?xml version="1.0" encoding="utf-8"?>
<ds:datastoreItem xmlns:ds="http://schemas.openxmlformats.org/officeDocument/2006/customXml" ds:itemID="{E84E07D7-8355-4440-9137-82D148858AF8}"/>
</file>

<file path=customXml/itemProps3.xml><?xml version="1.0" encoding="utf-8"?>
<ds:datastoreItem xmlns:ds="http://schemas.openxmlformats.org/officeDocument/2006/customXml" ds:itemID="{6958EC59-27AC-4849-B3EA-9EC27442209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IUT ANNECY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Yanis REYNAUD</dc:creator>
  <cp:keywords/>
  <dc:description/>
  <cp:lastModifiedBy>Ismail NDIAYE</cp:lastModifiedBy>
  <cp:revision/>
  <dcterms:created xsi:type="dcterms:W3CDTF">2023-05-09T07:45:51Z</dcterms:created>
  <dcterms:modified xsi:type="dcterms:W3CDTF">2023-05-12T14:26:32Z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0x0101006E3D7012BE17E5499E88CA2F30976028</vt:lpwstr>
  </property>
</Properties>
</file>